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s" sheetId="1" state="visible" r:id="rId3"/>
    <sheet name="Scoring Engine" sheetId="2" state="visible" r:id="rId4"/>
    <sheet name="SWOT Narratives" sheetId="3" state="visible" r:id="rId5"/>
    <sheet name="Instruc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<sst xmlns="http://schemas.openxmlformats.org/spreadsheetml/2006/main" count="315" uniqueCount="235">
  <si>
    <t xml:space="preserve">CATHEDRAL CENTER — SUCCESSION &amp; EXIT READINESS ASSESSMENT</t>
  </si>
  <si>
    <t xml:space="preserve">Tier 2 Self-Assessment | Measures Current Readiness vs. Desired Readiness Across 4 Succession Dimensions</t>
  </si>
  <si>
    <t xml:space="preserve">Response Scale: 1 = Not at all like our firm  |  2 = Not much like our firm  |  3 = Somewhat like our firm  |  4 = Mostly like our firm  |  5 = Exactly like our firm</t>
  </si>
  <si>
    <t xml:space="preserve">#</t>
  </si>
  <si>
    <t xml:space="preserve">Readiness Dimension</t>
  </si>
  <si>
    <t xml:space="preserve">Code</t>
  </si>
  <si>
    <t xml:space="preserve">Assessment Statement</t>
  </si>
  <si>
    <t xml:space="preserve">Context &amp; Guidance</t>
  </si>
  <si>
    <t xml:space="preserve">Where You Are
(1-5)</t>
  </si>
  <si>
    <t xml:space="preserve">Where You
Want To Be
(1-5)</t>
  </si>
  <si>
    <t xml:space="preserve">Readiness Gap</t>
  </si>
  <si>
    <t xml:space="preserve">  STRATEGIC READINESS</t>
  </si>
  <si>
    <t xml:space="preserve">Strategic Readiness</t>
  </si>
  <si>
    <t xml:space="preserve">SR-01</t>
  </si>
  <si>
    <t xml:space="preserve">Our firm has a clearly documented succession strategy that outlines ownership transition scenarios, timelines, and contingency plans for different exit pathways.</t>
  </si>
  <si>
    <t xml:space="preserve">A documented succession strategy transforms abstract intentions into actionable plans. Without clear documentation, succession remains aspirational rather than operational, creating risk for all stakeholders.</t>
  </si>
  <si>
    <t xml:space="preserve">SR-02</t>
  </si>
  <si>
    <t xml:space="preserve">We have clearly defined the core values that must be preserved through any ownership transition, and these values serve as non-negotiable criteria in evaluating potential successors or acquirers.</t>
  </si>
  <si>
    <t xml:space="preserve">Values preservation ensures that what made the firm successful carries forward. Transitions that compromise core values often result in client attrition and team departure.</t>
  </si>
  <si>
    <t xml:space="preserve">SR-03</t>
  </si>
  <si>
    <t xml:space="preserve">Our firm has established a realistic timeline for ownership transition with specific milestones, decision points, and review checkpoints built into the planning process.</t>
  </si>
  <si>
    <t xml:space="preserve">Succession timelines prevent indefinite delay and create accountability. Most successful transitions require 3-7 years of intentional preparation, and starting early creates more options.</t>
  </si>
  <si>
    <t xml:space="preserve">SR-04</t>
  </si>
  <si>
    <t xml:space="preserve">We have identified and documented the specific outcomes that would define a successful exit — including financial targets, legacy goals, client continuity expectations, and team retention requirements.</t>
  </si>
  <si>
    <t xml:space="preserve">Clear success criteria enable objective evaluation of succession options. Without defined goals, it becomes impossible to assess whether a particular path delivers acceptable outcomes.</t>
  </si>
  <si>
    <t xml:space="preserve">SR-05</t>
  </si>
  <si>
    <t xml:space="preserve">Our firm regularly monitors industry succession trends, including valuation multiples, deal structures, buyer landscape changes, and regulatory developments that could affect our transition options.</t>
  </si>
  <si>
    <t xml:space="preserve">Market intelligence strengthens negotiating position and timing decisions. Firms that understand the current M&amp;A landscape make better-informed decisions about when and how to transition.</t>
  </si>
  <si>
    <t xml:space="preserve">SR-06</t>
  </si>
  <si>
    <t xml:space="preserve">We have clearly articulated what the founding owner(s) want their post-exit professional life to look like — including ongoing involvement, consulting roles, or complete departure from the industry.</t>
  </si>
  <si>
    <t xml:space="preserve">Personal post-exit vision directly shapes deal structure and timeline. Misalignment between what owners want personally and what the business requires creates transition friction.</t>
  </si>
  <si>
    <t xml:space="preserve">SR-07</t>
  </si>
  <si>
    <t xml:space="preserve">Our firm has engaged professional advisors (legal, financial, M&amp;A specialists) to guide the succession planning process and ensure we are positioned optimally for our preferred transition pathway.</t>
  </si>
  <si>
    <t xml:space="preserve">Professional advisory support prevents costly mistakes and blind spots. Succession transactions involve complex legal, tax, and regulatory considerations that benefit from specialized expertise.</t>
  </si>
  <si>
    <t xml:space="preserve">SR-08</t>
  </si>
  <si>
    <t xml:space="preserve">We have communicated our succession intentions to key team members at an appropriate level of detail, creating alignment and reducing uncertainty about the firm's future direction.</t>
  </si>
  <si>
    <t xml:space="preserve">Team communication about succession reduces anxiety and prevents talent flight. Key employees who feel uncertain about the firm's future may seek opportunities elsewhere, weakening the very asset being transitioned.</t>
  </si>
  <si>
    <t xml:space="preserve">SR-09</t>
  </si>
  <si>
    <t xml:space="preserve">Our firm has evaluated at least two distinct succession pathways — such as internal succession, external acquisition, merger, or management buyout — and we understand the trade-offs of each approach.</t>
  </si>
  <si>
    <t xml:space="preserve">Evaluating multiple pathways ensures the chosen path is optimal rather than default. Firms that explore only one option may miss better alternatives or lack leverage in negotiations.</t>
  </si>
  <si>
    <t xml:space="preserve">SR-10</t>
  </si>
  <si>
    <t xml:space="preserve">We have established a clear governance framework for succession-related decisions, including who has authority, how decisions are documented, and what triggers a review of the succession plan.</t>
  </si>
  <si>
    <t xml:space="preserve">Decision governance prevents succession planning from stalling or being derailed by unclear authority. Clear protocols ensure steady progress and accountability throughout the transition process.</t>
  </si>
  <si>
    <t xml:space="preserve">SR-11</t>
  </si>
  <si>
    <t xml:space="preserve">Our firm has a documented culture statement or manifesto that captures the essence of who we are, and this document serves as a reference point for evaluating cultural compatibility with potential successors.</t>
  </si>
  <si>
    <t xml:space="preserve">Cultural documentation provides an objective basis for compatibility assessment. Without a clear cultural identity document, compatibility evaluation becomes subjective and unreliable.</t>
  </si>
  <si>
    <t xml:space="preserve">SR-12</t>
  </si>
  <si>
    <t xml:space="preserve">We regularly review and update our succession strategy based on changes in firm performance, market conditions, team composition, and owner personal circumstances.</t>
  </si>
  <si>
    <t xml:space="preserve">Living succession plans adapt to reality. Plans created and never revisited become outdated and potentially harmful, as assumptions about timing, valuation, and readiness evolve constantly.</t>
  </si>
  <si>
    <t xml:space="preserve">  FINANCIAL READINESS</t>
  </si>
  <si>
    <t xml:space="preserve">Financial Readiness</t>
  </si>
  <si>
    <t xml:space="preserve">FR-01</t>
  </si>
  <si>
    <t xml:space="preserve">Our firm generates consistent, predictable organic revenue growth that demonstrates business momentum and makes our practice attractive to potential successors or acquirers.</t>
  </si>
  <si>
    <t xml:space="preserve">Organic growth trajectory is the single strongest driver of firm valuation. Consistent growth signals healthy client acquisition, retention, and expanding relationships.</t>
  </si>
  <si>
    <t xml:space="preserve">FR-02</t>
  </si>
  <si>
    <t xml:space="preserve">We have a clear understanding of our firm's current market valuation based on recent industry benchmarks, comparable transactions, and professional valuation analysis.</t>
  </si>
  <si>
    <t xml:space="preserve">Realistic valuation understanding enables informed decision-making. Owners who overestimate or underestimate firm value make suboptimal timing and structure decisions.</t>
  </si>
  <si>
    <t xml:space="preserve">FR-03</t>
  </si>
  <si>
    <t xml:space="preserve">Our revenue is well-diversified across client segments, service lines, and advisor relationships, with no single client or advisor representing more than 15% of total firm revenue.</t>
  </si>
  <si>
    <t xml:space="preserve">Revenue concentration represents material succession risk. Acquirers and successors discount firms where revenue is dependent on a small number of relationships that may not transfer.</t>
  </si>
  <si>
    <t xml:space="preserve">FR-04</t>
  </si>
  <si>
    <t xml:space="preserve">We have clearly documented and optimized our fee structure to ensure pricing is competitive, transparent, and aligned with the value we deliver to different client segments.</t>
  </si>
  <si>
    <t xml:space="preserve">Fee structure clarity and optimization directly impact valuation multiples. Well-structured, documented pricing demonstrates operational maturity and revenue sustainability.</t>
  </si>
  <si>
    <t xml:space="preserve">FR-05</t>
  </si>
  <si>
    <t xml:space="preserve">Our firm maintains clean financial records with professional accounting practices, annual audits or reviews, and clear separation between business and personal expenses.</t>
  </si>
  <si>
    <t xml:space="preserve">Financial hygiene is non-negotiable for succession transactions. Unclear financials create due diligence friction, valuation uncertainty, and can derail otherwise viable transitions.</t>
  </si>
  <si>
    <t xml:space="preserve">FR-06</t>
  </si>
  <si>
    <t xml:space="preserve">We have structured our client agreements, fee schedules, and service contracts in a way that facilitates smooth assignment or novation during an ownership transition.</t>
  </si>
  <si>
    <t xml:space="preserve">Contract transferability directly affects transition complexity and timeline. Agreements that are difficult to assign create legal friction and client disruption risk.</t>
  </si>
  <si>
    <t xml:space="preserve">FR-07</t>
  </si>
  <si>
    <t xml:space="preserve">Our firm's profit margins are healthy and trending positively, demonstrating operational efficiency and sustainable economics that would support a successor's investment thesis.</t>
  </si>
  <si>
    <t xml:space="preserve">Margin trajectory signals operational health. Declining margins raise questions about cost management, pricing power, and long-term business sustainability for potential successors.</t>
  </si>
  <si>
    <t xml:space="preserve">FR-08</t>
  </si>
  <si>
    <t xml:space="preserve">We have identified and documented all material financial obligations, liabilities, and contingencies that would need to be disclosed and addressed during a succession transaction.</t>
  </si>
  <si>
    <t xml:space="preserve">Financial transparency accelerates due diligence and builds trust. Undisclosed obligations discovered during transaction review can derail deals and damage relationships.</t>
  </si>
  <si>
    <t xml:space="preserve">FR-09</t>
  </si>
  <si>
    <t xml:space="preserve">Our firm has evaluated different deal structures — including full sale, partial sale, earnout arrangements, and equity recapitalization — and we understand the financial implications of each approach.</t>
  </si>
  <si>
    <t xml:space="preserve">Deal structure literacy enables sophisticated negotiation. Owners who understand only one transaction type may accept suboptimal economic outcomes.</t>
  </si>
  <si>
    <t xml:space="preserve">FR-10</t>
  </si>
  <si>
    <t xml:space="preserve">We maintain a detailed client retention strategy and have historical data demonstrating strong client retention rates that would give a successor confidence in revenue continuity.</t>
  </si>
  <si>
    <t xml:space="preserve">Client retention data de-risks the succession transaction. Documented retention rates above 95% significantly increase firm attractiveness and valuation multiples.</t>
  </si>
  <si>
    <t xml:space="preserve">FR-11</t>
  </si>
  <si>
    <t xml:space="preserve">Our firm's technology systems generate accurate, real-time financial reporting that allows us to monitor firm health and demonstrate financial performance to potential successors.</t>
  </si>
  <si>
    <t xml:space="preserve">Financial reporting capability signals operational maturity. Real-time visibility into firm economics enables faster due diligence and stronger negotiating positions.</t>
  </si>
  <si>
    <t xml:space="preserve">FR-12</t>
  </si>
  <si>
    <t xml:space="preserve">We have a clear understanding of the tax implications of different succession scenarios and have structured our entity and compensation arrangements to optimize after-tax outcomes.</t>
  </si>
  <si>
    <t xml:space="preserve">Tax planning can add or destroy significant transaction value. Early tax structure optimization creates flexibility and economic advantage that late-stage planning cannot achieve.</t>
  </si>
  <si>
    <t xml:space="preserve">  CONTINUITY READINESS</t>
  </si>
  <si>
    <t xml:space="preserve">Continuity Readiness</t>
  </si>
  <si>
    <t xml:space="preserve">CR-01</t>
  </si>
  <si>
    <t xml:space="preserve">Our firm has identified specific individuals — internal or external — who could potentially serve as successors, and we have begun evaluating their capability, willingness, and readiness for the role.</t>
  </si>
  <si>
    <t xml:space="preserve">Successor identification transforms abstract planning into concrete preparation. Identifying potential successors early allows for intentional development and relationship building.</t>
  </si>
  <si>
    <t xml:space="preserve">CR-02</t>
  </si>
  <si>
    <t xml:space="preserve">We have clearly defined what a successful successor looks like — including required skills, experience, behavioral characteristics, client relationship aptitude, and leadership qualities.</t>
  </si>
  <si>
    <t xml:space="preserve">Clear successor criteria enable objective evaluation. Without defined requirements, successor selection risks being driven by convenience or availability rather than strategic fit.</t>
  </si>
  <si>
    <t xml:space="preserve">CR-03</t>
  </si>
  <si>
    <t xml:space="preserve">Our firm has a structured leadership development program that prepares identified successor candidates through mentoring, progressive responsibility, and deliberate skill-building over time.</t>
  </si>
  <si>
    <t xml:space="preserve">Successor development requires years of intentional investment. Transitions where successors lack adequate preparation result in client disruption and team uncertainty.</t>
  </si>
  <si>
    <t xml:space="preserve">CR-04</t>
  </si>
  <si>
    <t xml:space="preserve">Key client relationships are managed by multiple team members, reducing dependency on any single advisor and ensuring clients would experience continuity during an ownership transition.</t>
  </si>
  <si>
    <t xml:space="preserve">Relationship redundancy protects client continuity. When client relationships are concentrated with departing owners, transition risk increases substantially and valuation suffers.</t>
  </si>
  <si>
    <t xml:space="preserve">CR-05</t>
  </si>
  <si>
    <t xml:space="preserve">We have documented standard operating procedures for all critical business functions, enabling any competent professional to maintain operational continuity regardless of personnel changes.</t>
  </si>
  <si>
    <t xml:space="preserve">Process documentation is the backbone of operational continuity. Undocumented tribal knowledge creates fragility that threatens business value during transitions.</t>
  </si>
  <si>
    <t xml:space="preserve">CR-06</t>
  </si>
  <si>
    <t xml:space="preserve">Our firm has an organized and accessible client file management system where all client data, agreements, planning documents, and communication history are stored and retrievable.</t>
  </si>
  <si>
    <t xml:space="preserve">Data organization directly impacts transition efficiency. Successors who inherit disorganized client files face months of remediation work that distracts from relationship management.</t>
  </si>
  <si>
    <t xml:space="preserve">CR-07</t>
  </si>
  <si>
    <t xml:space="preserve">We have a clearly defined client communication plan for the succession announcement, including messaging frameworks, timing considerations, and proactive outreach strategies for key relationships.</t>
  </si>
  <si>
    <t xml:space="preserve">Client communication planning preserves relationships during transition. Poorly managed announcements create uncertainty, competitive vulnerability, and potential client attrition.</t>
  </si>
  <si>
    <t xml:space="preserve">CR-08</t>
  </si>
  <si>
    <t xml:space="preserve">Our compliance and regulatory infrastructure is well-documented and can be efficiently transitioned to a new ownership structure without material disruption to client service.</t>
  </si>
  <si>
    <t xml:space="preserve">Compliance transferability reduces regulatory transition risk. Firms with well-documented compliance programs transfer more smoothly and face fewer post-closing regulatory issues.</t>
  </si>
  <si>
    <t xml:space="preserve">CR-09</t>
  </si>
  <si>
    <t xml:space="preserve">Key vendor, custodial, and technology partner relationships are held at the firm level rather than dependent on personal relationships of the departing owner.</t>
  </si>
  <si>
    <t xml:space="preserve">Institutional vendor relationships protect operational continuity. Personal vendor dependencies create risk that key service relationships may not survive an ownership transition.</t>
  </si>
  <si>
    <t xml:space="preserve">CR-10</t>
  </si>
  <si>
    <t xml:space="preserve">Our firm has evaluated and prepared for potential team member reactions to succession, including retention strategies, communication plans, and contingency measures for key talent departure.</t>
  </si>
  <si>
    <t xml:space="preserve">Team retention planning protects the human capital that drives firm value. Unexpected team departures during transition can erode the very asset being transferred.</t>
  </si>
  <si>
    <t xml:space="preserve">CR-11</t>
  </si>
  <si>
    <t xml:space="preserve">We have a clear emergency succession plan — a defined protocol for what happens if the primary owner becomes unable to manage the firm due to health, disability, or unexpected circumstances.</t>
  </si>
  <si>
    <t xml:space="preserve">Emergency succession planning protects all stakeholders. Without contingency protocols, unexpected events can create chaos that damages client relationships and firm value.</t>
  </si>
  <si>
    <t xml:space="preserve">CR-12</t>
  </si>
  <si>
    <t xml:space="preserve">Our firm's brand identity and market reputation are institutional rather than personal, meaning the firm's value proposition is not dependent on any single individual's public profile.</t>
  </si>
  <si>
    <t xml:space="preserve">Institutional brand value transfers; personal brand value does not. Firms built around an individual's reputation face significant valuation discount during succession transactions.</t>
  </si>
  <si>
    <t xml:space="preserve">  OPERATIONAL READINESS</t>
  </si>
  <si>
    <t xml:space="preserve">Operational Readiness</t>
  </si>
  <si>
    <t xml:space="preserve">OR-01</t>
  </si>
  <si>
    <t xml:space="preserve">Our firm has clearly documented organizational structure, role definitions, and reporting relationships that would provide a clear operating framework for any successor or acquiring entity.</t>
  </si>
  <si>
    <t xml:space="preserve">Organizational clarity signals management maturity. Successors need to understand the team structure they are inheriting, and ambiguity creates post-closing operational challenges.</t>
  </si>
  <si>
    <t xml:space="preserve">OR-02</t>
  </si>
  <si>
    <t xml:space="preserve">We conduct regular performance evaluations for all team members with documented goals, progress tracking, and development plans that a successor could continue seamlessly.</t>
  </si>
  <si>
    <t xml:space="preserve">Performance management continuity maintains team accountability and development momentum through ownership transition. Gaps in performance management create uncertainty and potential productivity decline.</t>
  </si>
  <si>
    <t xml:space="preserve">OR-03</t>
  </si>
  <si>
    <t xml:space="preserve">Our technology infrastructure is current, well-maintained, and documented, with clear vendor contracts, system administration protocols, and disaster recovery procedures.</t>
  </si>
  <si>
    <t xml:space="preserve">Technology documentation enables smooth operational handoff. Undocumented systems, expired licenses, or outdated infrastructure create hidden costs and risks for successors.</t>
  </si>
  <si>
    <t xml:space="preserve">OR-04</t>
  </si>
  <si>
    <t xml:space="preserve">We have established formal training programs and knowledge transfer processes that enable new team members to become productive quickly and reduce dependency on institutional memory.</t>
  </si>
  <si>
    <t xml:space="preserve">Training infrastructure protects institutional knowledge. Firms that rely on informal, person-dependent training face knowledge loss risk during any personnel change, not just succession.</t>
  </si>
  <si>
    <t xml:space="preserve">OR-05</t>
  </si>
  <si>
    <t xml:space="preserve">Our client service model is standardized and scalable, meaning we can consistently deliver quality service regardless of which team member handles a specific client interaction.</t>
  </si>
  <si>
    <t xml:space="preserve">Service consistency demonstrates operational maturity. Successors value firms where client experience quality is system-dependent rather than individual-dependent.</t>
  </si>
  <si>
    <t xml:space="preserve">OR-06</t>
  </si>
  <si>
    <t xml:space="preserve">We regularly assess and address operational risks, including cybersecurity vulnerabilities, business continuity gaps, and process fragilities that could affect firm stability during transition.</t>
  </si>
  <si>
    <t xml:space="preserve">Operational risk management protects firm value. Unaddressed operational risks discovered during due diligence create valuation discounts and can derail transactions.</t>
  </si>
  <si>
    <t xml:space="preserve">OR-07</t>
  </si>
  <si>
    <t xml:space="preserve">Our firm has established key performance indicators (KPIs) and dashboards that provide real-time visibility into business health, advisor productivity, and client satisfaction metrics.</t>
  </si>
  <si>
    <t xml:space="preserve">KPI infrastructure demonstrates data-driven management. Successors who inherit firms with clear performance metrics can maintain management discipline from day one of ownership.</t>
  </si>
  <si>
    <t xml:space="preserve">OR-08</t>
  </si>
  <si>
    <t xml:space="preserve">We have clear, documented workflows for all major client service processes — from onboarding to annual reviews to account maintenance — that any qualified team member could execute.</t>
  </si>
  <si>
    <t xml:space="preserve">Workflow documentation is the foundation of scalable operations. Documented processes transfer with the business; undocumented processes may not survive ownership changes.</t>
  </si>
  <si>
    <t xml:space="preserve">OR-09</t>
  </si>
  <si>
    <t xml:space="preserve">Our firm's marketing and business development activities are systematized and documented, meaning client acquisition efforts would continue to generate results under new ownership.</t>
  </si>
  <si>
    <t xml:space="preserve">Marketing systematization ensures growth continuity. Firms where business development depends on the owner's personal relationships or efforts face growth vulnerability during transition.</t>
  </si>
  <si>
    <t xml:space="preserve">OR-10</t>
  </si>
  <si>
    <t xml:space="preserve">We maintain a clean and organized physical and digital office environment that reflects the professionalism and operational discipline a potential successor would expect to inherit.</t>
  </si>
  <si>
    <t xml:space="preserve">Environmental organization signals operational standards. First impressions during site visits influence successor and acquirer perceptions of firm quality and management discipline.</t>
  </si>
  <si>
    <t xml:space="preserve">OR-11</t>
  </si>
  <si>
    <t xml:space="preserve">Our firm has established advisory board relationships or peer networks that provide ongoing external perspective, accountability, and strategic guidance independent of the current owner.</t>
  </si>
  <si>
    <t xml:space="preserve">External governance structures demonstrate institutional maturity. Advisory relationships that survive ownership transition provide continuity of strategic counsel.</t>
  </si>
  <si>
    <t xml:space="preserve">OR-12</t>
  </si>
  <si>
    <t xml:space="preserve">We have conducted a formal readiness assessment of our firm's operational, financial, and strategic position within the past 12 months to identify and address gaps before entering the succession market.</t>
  </si>
  <si>
    <t xml:space="preserve">Recent self-assessment demonstrates proactive readiness. Firms that evaluate and address gaps before entering the market achieve better transaction outcomes and faster timelines.</t>
  </si>
  <si>
    <t xml:space="preserve">SCORING ENGINE — SUCCESSION &amp; EXIT READINESS</t>
  </si>
  <si>
    <t xml:space="preserve">Avg Where You Are</t>
  </si>
  <si>
    <t xml:space="preserve">Avg Where You Want To Be</t>
  </si>
  <si>
    <t xml:space="preserve">Avg Readiness Gap</t>
  </si>
  <si>
    <t xml:space="preserve">Dimension Readiness %</t>
  </si>
  <si>
    <t xml:space="preserve">Readiness Score (0-100)</t>
  </si>
  <si>
    <t xml:space="preserve">SWOT Classification</t>
  </si>
  <si>
    <t xml:space="preserve">OVERALL SUCCESSION READINESS SCORES</t>
  </si>
  <si>
    <t xml:space="preserve">Overall Readiness Score</t>
  </si>
  <si>
    <t xml:space="preserve">Overall Readiness Gap</t>
  </si>
  <si>
    <t xml:space="preserve">Overall Dimension Readiness %</t>
  </si>
  <si>
    <t xml:space="preserve">Total Questions Answered</t>
  </si>
  <si>
    <t xml:space="preserve">Strengths Count</t>
  </si>
  <si>
    <t xml:space="preserve">Opportunities Count</t>
  </si>
  <si>
    <t xml:space="preserve">Threats Count</t>
  </si>
  <si>
    <t xml:space="preserve">Weaknesses Count</t>
  </si>
  <si>
    <t xml:space="preserve">READINESS TIER CLASSIFICATION</t>
  </si>
  <si>
    <t xml:space="preserve">90-100: Succession Ready</t>
  </si>
  <si>
    <t xml:space="preserve">Firm is well-prepared for ownership transition</t>
  </si>
  <si>
    <t xml:space="preserve">75-89: Approaching Ready</t>
  </si>
  <si>
    <t xml:space="preserve">Most elements in place with targeted gaps to address</t>
  </si>
  <si>
    <t xml:space="preserve">60-74: In Development</t>
  </si>
  <si>
    <t xml:space="preserve">Meaningful preparation still required across multiple areas</t>
  </si>
  <si>
    <t xml:space="preserve">40-59: Early Stage</t>
  </si>
  <si>
    <t xml:space="preserve">Substantial succession planning work needed before transition</t>
  </si>
  <si>
    <t xml:space="preserve">Below 40: Not Ready</t>
  </si>
  <si>
    <t xml:space="preserve">Foundational succession planning has not yet begun</t>
  </si>
  <si>
    <t xml:space="preserve">SWOT NARRATIVE FEEDBACK — SUCCESSION &amp; EXIT READINESS</t>
  </si>
  <si>
    <t xml:space="preserve">SWOT Class</t>
  </si>
  <si>
    <t xml:space="preserve">Narrative Feedback</t>
  </si>
  <si>
    <t xml:space="preserve">STRENGTH</t>
  </si>
  <si>
    <t xml:space="preserve">Your strategic succession planning is exceptionally well-developed. You have clearly articulated succession goals, documented transition pathways, established realistic timelines, and engaged the right professional advisors. This level of strategic readiness positions you to execute a transition on your terms rather than reacting to circumstances. Focus now on stress-testing your plan against different market scenarios and keeping your strategy current with evolving industry conditions.</t>
  </si>
  <si>
    <t xml:space="preserve">OPPORTUNITY</t>
  </si>
  <si>
    <t xml:space="preserve">Your strategic succession planning shows strong foundations with specific areas for enhancement. The core elements are in place — vision, timeline, and general approach — but opportunities exist to deepen documentation, broaden pathway evaluation, or strengthen communication protocols. Targeted investment in these areas will move you from good to excellent strategic readiness.</t>
  </si>
  <si>
    <t xml:space="preserve">THREAT</t>
  </si>
  <si>
    <t xml:space="preserve">Your strategic succession planning has meaningful gaps that require attention. While some foundational elements may be in place, important components like documented strategy, clear timelines, professional advisory engagement, or team communication planning need development. We recommend prioritizing a comprehensive succession planning workshop within the next 90 days.</t>
  </si>
  <si>
    <t xml:space="preserve">WEAKNESS</t>
  </si>
  <si>
    <t xml:space="preserve">Your strategic succession planning requires substantial development. The absence of documented strategy, clear timelines, and professional advisory support creates significant risk. Without these foundational elements, succession becomes reactive rather than intentional. We strongly recommend engaging a succession planning specialist to establish baseline strategy and timeline immediately.</t>
  </si>
  <si>
    <t xml:space="preserve">Your financial succession readiness is excellent. Strong organic growth, clean financial records, well-understood valuation, diversified revenue, and optimized deal structure understanding position you to maximize transaction value. This level of financial preparedness gives you negotiating leverage and deal timeline control. Focus on maintaining financial hygiene and keeping valuation data current.</t>
  </si>
  <si>
    <t xml:space="preserve">Your financial readiness is solid with specific optimization opportunities. Core financial health is good, but areas like revenue diversification, valuation precision, deal structure literacy, or tax optimization could strengthen your position. Targeted financial preparation work now could meaningfully increase transaction value when you are ready to execute.</t>
  </si>
  <si>
    <t xml:space="preserve">Your financial readiness has notable gaps that could impact transaction value and timeline. Issues like revenue concentration, unclear valuation, incomplete financial documentation, or unoptimized deal structures create risk. We recommend engaging a financial advisor specializing in advisory firm transactions to identify and address specific financial readiness gaps.</t>
  </si>
  <si>
    <t xml:space="preserve">Your financial readiness requires significant work before you are positioned for a successful succession transaction. Fundamental financial preparation — including clean accounting, realistic valuation, revenue diversification, and deal structure understanding — is essential. We recommend a comprehensive financial readiness assessment and remediation program before entering the succession market.</t>
  </si>
  <si>
    <t xml:space="preserve">Your continuity readiness is exceptional. Identified successor candidates, documented processes, diversified client relationships, organized data systems, and clear communication plans create the infrastructure for seamless ownership transition. This level of preparation protects client relationships, retains key talent, and preserves the business value you have built.</t>
  </si>
  <si>
    <t xml:space="preserve">Your continuity infrastructure is well-developed with specific areas for strengthening. Core elements like process documentation, successor identification, or client communication planning may be solid while others need attention. Targeted investment in continuity gaps will enhance client retention confidence and team stability through transition.</t>
  </si>
  <si>
    <t xml:space="preserve">Your continuity readiness has meaningful gaps that could disrupt client relationships and team stability during transition. Issues like concentrated client dependencies, undocumented processes, unclear successor pipeline, or absent communication plans create transition risk. We recommend a systematic continuity audit to identify and prioritize remediation efforts.</t>
  </si>
  <si>
    <t xml:space="preserve">Your continuity readiness requires substantial development. Without identified successors, documented processes, diversified client relationships, and organized systems, ownership transition risks significant value destruction. We strongly recommend beginning a comprehensive continuity building program immediately, even if succession is several years away.</t>
  </si>
  <si>
    <t xml:space="preserve">Your operational readiness is excellent. Well-documented procedures, standardized service models, clear organizational structure, and systematized business development create an operational engine that functions independently of any single individual. This is the hallmark of a transferable business and positions you for premium valuation.</t>
  </si>
  <si>
    <t xml:space="preserve">Your operational readiness shows strong foundations with specific enhancement opportunities. Core operations may function well, but documentation, systematization, or risk management could be strengthened. Targeted operational improvements now will increase firm attractiveness and reduce post-closing integration risk for potential successors.</t>
  </si>
  <si>
    <t xml:space="preserve">Your operational readiness has notable gaps that could complicate succession execution. Issues like undocumented workflows, person-dependent operations, or absent performance management systems create risk for potential successors. We recommend an operational audit focused specifically on succession transferability within the next 90 days.</t>
  </si>
  <si>
    <t xml:space="preserve">Your operational readiness requires significant investment before succession is viable. Without documented procedures, standardized service models, and systematized operations, the business is difficult to transfer without material value loss. We recommend engaging an operations consultant to build foundational operational infrastructure.</t>
  </si>
  <si>
    <t xml:space="preserve">Instructions &amp; Methodology Guide</t>
  </si>
  <si>
    <t xml:space="preserve">PURPOSE</t>
  </si>
  <si>
    <t xml:space="preserve">This assessment evaluates your firm's readiness for ownership transition across four critical succession dimensions. Whether you are planning an internal succession, external sale, merger, or management buyout, this tool identifies specific areas of strength and development need to help you prepare effectively.</t>
  </si>
  <si>
    <t xml:space="preserve">FOUR READINESS DIMENSIONS</t>
  </si>
  <si>
    <t xml:space="preserve">1. Strategic Readiness (12 questions) — Vision, planning, timeline, pathways, governance, communication</t>
  </si>
  <si>
    <t xml:space="preserve">2. Financial Readiness (12 questions) — Growth, valuation, revenue quality, financial hygiene, deal structure</t>
  </si>
  <si>
    <t xml:space="preserve">3. Continuity Readiness (12 questions) — Successors, processes, relationships, communication, risk mitigation</t>
  </si>
  <si>
    <t xml:space="preserve">4. Operational Readiness (12 questions) — Documentation, systematization, service models, risk management</t>
  </si>
  <si>
    <t xml:space="preserve">HOW IT WORKS</t>
  </si>
  <si>
    <t xml:space="preserve">Each question uses a dual-response format:</t>
  </si>
  <si>
    <t xml:space="preserve">  'Where You Are' (1-5) — How accurately does this describe your firm TODAY?</t>
  </si>
  <si>
    <t xml:space="preserve">  'Where You Want To Be' (1-5) — How much do you WANT this to describe your firm?</t>
  </si>
  <si>
    <t xml:space="preserve">The Readiness Gap is the absolute difference between these two ratings.</t>
  </si>
  <si>
    <t xml:space="preserve">90-100: Succession Ready — Well-prepared for ownership transition</t>
  </si>
  <si>
    <t xml:space="preserve">75-89: Approaching Ready — Most elements in place with targeted gaps</t>
  </si>
  <si>
    <t xml:space="preserve">60-74: In Development — Meaningful preparation still required</t>
  </si>
  <si>
    <t xml:space="preserve">40-59: Early Stage — Substantial planning work needed</t>
  </si>
  <si>
    <t xml:space="preserve">Below 40: Not Ready — Foundational planning has not yet begun</t>
  </si>
  <si>
    <t xml:space="preserve">SCORING</t>
  </si>
  <si>
    <t xml:space="preserve">Readiness Score = Average 'Where You Are' / 5 × 100</t>
  </si>
  <si>
    <t xml:space="preserve">Dimension Readiness % = (1 - Average Gap / 4) × 100</t>
  </si>
  <si>
    <t xml:space="preserve">SWOT: ≥90% = Strength, 75-89% = Opportunity, 60-74% = Threat, &lt;60% = Weakness</t>
  </si>
</sst>
</file>

<file path=xl/styles.xml><?xml version="1.0" encoding="utf-8"?>
<styleSheet xmlns="http://schemas.openxmlformats.org/spreadsheetml/2006/main">
  <numFmts count="3">
    <numFmt numFmtId="164" formatCode="General"/>
    <numFmt numFmtId="165" formatCode="0.0"/>
    <numFmt numFmtId="166" formatCode="0.0\%"/>
  </numFmts>
  <fonts count="14">
    <font>
      <sz val="11"/>
      <color theme="1"/>
      <name val="Calibri"/>
      <family val="2"/>
      <charset val="1"/>
    </font>
    <font>
      <sz val="10"/>
      <name val="Arial"/>
      <family val="0"/>
    </font>
    <font>
      <sz val="10"/>
      <name val="Arial"/>
      <family val="0"/>
    </font>
    <font>
      <sz val="10"/>
      <name val="Arial"/>
      <family val="0"/>
    </font>
    <font>
      <b val="true"/>
      <sz val="14"/>
      <color rgb="FF4A148C"/>
      <name val="Arial"/>
      <family val="0"/>
      <charset val="1"/>
    </font>
    <font>
      <i val="true"/>
      <sz val="10"/>
      <color rgb="FF666666"/>
      <name val="Arial"/>
      <family val="0"/>
      <charset val="1"/>
    </font>
    <font>
      <i val="true"/>
      <sz val="9"/>
      <color rgb="FF444444"/>
      <name val="Arial"/>
      <family val="0"/>
      <charset val="1"/>
    </font>
    <font>
      <b val="true"/>
      <sz val="12"/>
      <color rgb="FFFFFFFF"/>
      <name val="Arial"/>
      <family val="0"/>
      <charset val="1"/>
    </font>
    <font>
      <b val="true"/>
      <sz val="11"/>
      <color rgb="FF4A148C"/>
      <name val="Arial"/>
      <family val="0"/>
      <charset val="1"/>
    </font>
    <font>
      <sz val="10"/>
      <name val="Arial"/>
      <family val="0"/>
      <charset val="1"/>
    </font>
    <font>
      <b val="true"/>
      <sz val="10"/>
      <name val="Arial"/>
      <family val="0"/>
      <charset val="1"/>
    </font>
    <font>
      <sz val="10"/>
      <color rgb="FF0000FF"/>
      <name val="Arial"/>
      <family val="0"/>
      <charset val="1"/>
    </font>
    <font>
      <i val="true"/>
      <sz val="11"/>
      <color rgb="FF666666"/>
      <name val="Arial"/>
      <family val="0"/>
      <charset val="1"/>
    </font>
    <font>
      <b val="true"/>
      <sz val="12"/>
      <color rgb="FF4A148C"/>
      <name val="Arial"/>
      <family val="0"/>
      <charset val="1"/>
    </font>
  </fonts>
  <fills count="7">
    <fill>
      <patternFill patternType="none"/>
    </fill>
    <fill>
      <patternFill patternType="gray125"/>
    </fill>
    <fill>
      <patternFill patternType="solid">
        <fgColor rgb="FF4A148C"/>
        <bgColor rgb="FF800080"/>
      </patternFill>
    </fill>
    <fill>
      <patternFill patternType="solid">
        <fgColor rgb="FFF3E5F5"/>
        <bgColor rgb="FFF0F0FF"/>
      </patternFill>
    </fill>
    <fill>
      <patternFill patternType="solid">
        <fgColor rgb="FFF0F0FF"/>
        <bgColor rgb="FFF3E5F5"/>
      </patternFill>
    </fill>
    <fill>
      <patternFill patternType="solid">
        <fgColor rgb="FFFFF3CD"/>
        <bgColor rgb="FFF3E5F5"/>
      </patternFill>
    </fill>
    <fill>
      <patternFill patternType="solid">
        <fgColor rgb="FFE8D5F5"/>
        <bgColor rgb="FFF3E5F5"/>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general"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center"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CD"/>
      <rgbColor rgb="FFF0F0FF"/>
      <rgbColor rgb="FF4A148C"/>
      <rgbColor rgb="FFFF8080"/>
      <rgbColor rgb="FF0066CC"/>
      <rgbColor rgb="FFE8D5F5"/>
      <rgbColor rgb="FF000080"/>
      <rgbColor rgb="FFFF00FF"/>
      <rgbColor rgb="FFFFFF00"/>
      <rgbColor rgb="FF00FFFF"/>
      <rgbColor rgb="FF800080"/>
      <rgbColor rgb="FF800000"/>
      <rgbColor rgb="FF008080"/>
      <rgbColor rgb="FF0000FF"/>
      <rgbColor rgb="FF00CCFF"/>
      <rgbColor rgb="FFF3E5F5"/>
      <rgbColor rgb="FFCCFFCC"/>
      <rgbColor rgb="FFFFFF99"/>
      <rgbColor rgb="FF99CCFF"/>
      <rgbColor rgb="FFFF99CC"/>
      <rgbColor rgb="FFCC99FF"/>
      <rgbColor rgb="FFFFCC99"/>
      <rgbColor rgb="FF3366FF"/>
      <rgbColor rgb="FF33CCCC"/>
      <rgbColor rgb="FF99CC00"/>
      <rgbColor rgb="FFFFCC00"/>
      <rgbColor rgb="FFFF9900"/>
      <rgbColor rgb="FFE65100"/>
      <rgbColor rgb="FF666666"/>
      <rgbColor rgb="FF969696"/>
      <rgbColor rgb="FF003366"/>
      <rgbColor rgb="FF2E7D32"/>
      <rgbColor rgb="FF003300"/>
      <rgbColor rgb="FF333300"/>
      <rgbColor rgb="FF993300"/>
      <rgbColor rgb="FF993366"/>
      <rgbColor rgb="FF455A64"/>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A148C"/>
    <pageSetUpPr fitToPage="false"/>
  </sheetPr>
  <dimension ref="A1:H5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8"/>
    <col collapsed="false" customWidth="true" hidden="false" outlineLevel="0" max="4" min="4" style="0" width="55"/>
    <col collapsed="false" customWidth="true" hidden="false" outlineLevel="0" max="5" min="5" style="0" width="50"/>
    <col collapsed="false" customWidth="true" hidden="false" outlineLevel="0" max="8" min="6" style="0" width="18"/>
  </cols>
  <sheetData>
    <row r="1" customFormat="false" ht="17.35" hidden="false" customHeight="fals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15" hidden="false" customHeight="false" outlineLevel="0" collapsed="false">
      <c r="A3" s="3" t="s">
        <v>2</v>
      </c>
      <c r="B3" s="3"/>
      <c r="C3" s="3"/>
      <c r="D3" s="3"/>
      <c r="E3" s="3"/>
      <c r="F3" s="3"/>
      <c r="G3" s="3"/>
      <c r="H3" s="3"/>
    </row>
    <row r="4" customFormat="false" ht="39.55" hidden="false" customHeight="false" outlineLevel="0" collapsed="false">
      <c r="A4" s="4" t="s">
        <v>3</v>
      </c>
      <c r="B4" s="4" t="s">
        <v>4</v>
      </c>
      <c r="C4" s="4" t="s">
        <v>5</v>
      </c>
      <c r="D4" s="4" t="s">
        <v>6</v>
      </c>
      <c r="E4" s="4" t="s">
        <v>7</v>
      </c>
      <c r="F4" s="4" t="s">
        <v>8</v>
      </c>
      <c r="G4" s="4" t="s">
        <v>9</v>
      </c>
      <c r="H4" s="4" t="s">
        <v>10</v>
      </c>
    </row>
    <row r="5" customFormat="false" ht="24.75" hidden="false" customHeight="true" outlineLevel="0" collapsed="false">
      <c r="A5" s="5" t="s">
        <v>11</v>
      </c>
      <c r="B5" s="5"/>
      <c r="C5" s="5"/>
      <c r="D5" s="5"/>
      <c r="E5" s="5"/>
      <c r="F5" s="5"/>
      <c r="G5" s="5"/>
      <c r="H5" s="5"/>
    </row>
    <row r="6" customFormat="false" ht="79.5" hidden="false" customHeight="true" outlineLevel="0" collapsed="false">
      <c r="A6" s="6" t="n">
        <v>1</v>
      </c>
      <c r="B6" s="7" t="s">
        <v>12</v>
      </c>
      <c r="C6" s="6" t="s">
        <v>13</v>
      </c>
      <c r="D6" s="8" t="s">
        <v>14</v>
      </c>
      <c r="E6" s="8" t="s">
        <v>15</v>
      </c>
      <c r="F6" s="9"/>
      <c r="G6" s="9"/>
      <c r="H6" s="10" t="str">
        <f aca="false">IF(AND(F6&lt;&gt;"",G6&lt;&gt;""),ABS(G6-F6),"")</f>
        <v/>
      </c>
    </row>
    <row r="7" customFormat="false" ht="79.5" hidden="false" customHeight="true" outlineLevel="0" collapsed="false">
      <c r="A7" s="6" t="n">
        <v>2</v>
      </c>
      <c r="B7" s="7" t="s">
        <v>12</v>
      </c>
      <c r="C7" s="6" t="s">
        <v>16</v>
      </c>
      <c r="D7" s="8" t="s">
        <v>17</v>
      </c>
      <c r="E7" s="8" t="s">
        <v>18</v>
      </c>
      <c r="F7" s="9"/>
      <c r="G7" s="9"/>
      <c r="H7" s="10" t="str">
        <f aca="false">IF(AND(F7&lt;&gt;"",G7&lt;&gt;""),ABS(G7-F7),"")</f>
        <v/>
      </c>
    </row>
    <row r="8" customFormat="false" ht="79.5" hidden="false" customHeight="true" outlineLevel="0" collapsed="false">
      <c r="A8" s="6" t="n">
        <v>3</v>
      </c>
      <c r="B8" s="7" t="s">
        <v>12</v>
      </c>
      <c r="C8" s="6" t="s">
        <v>19</v>
      </c>
      <c r="D8" s="8" t="s">
        <v>20</v>
      </c>
      <c r="E8" s="8" t="s">
        <v>21</v>
      </c>
      <c r="F8" s="9"/>
      <c r="G8" s="9"/>
      <c r="H8" s="10" t="str">
        <f aca="false">IF(AND(F8&lt;&gt;"",G8&lt;&gt;""),ABS(G8-F8),"")</f>
        <v/>
      </c>
    </row>
    <row r="9" customFormat="false" ht="79.5" hidden="false" customHeight="true" outlineLevel="0" collapsed="false">
      <c r="A9" s="6" t="n">
        <v>4</v>
      </c>
      <c r="B9" s="7" t="s">
        <v>12</v>
      </c>
      <c r="C9" s="6" t="s">
        <v>22</v>
      </c>
      <c r="D9" s="8" t="s">
        <v>23</v>
      </c>
      <c r="E9" s="8" t="s">
        <v>24</v>
      </c>
      <c r="F9" s="9"/>
      <c r="G9" s="9"/>
      <c r="H9" s="10" t="str">
        <f aca="false">IF(AND(F9&lt;&gt;"",G9&lt;&gt;""),ABS(G9-F9),"")</f>
        <v/>
      </c>
    </row>
    <row r="10" customFormat="false" ht="79.5" hidden="false" customHeight="true" outlineLevel="0" collapsed="false">
      <c r="A10" s="6" t="n">
        <v>5</v>
      </c>
      <c r="B10" s="7" t="s">
        <v>12</v>
      </c>
      <c r="C10" s="6" t="s">
        <v>25</v>
      </c>
      <c r="D10" s="8" t="s">
        <v>26</v>
      </c>
      <c r="E10" s="8" t="s">
        <v>27</v>
      </c>
      <c r="F10" s="9"/>
      <c r="G10" s="9"/>
      <c r="H10" s="10" t="str">
        <f aca="false">IF(AND(F10&lt;&gt;"",G10&lt;&gt;""),ABS(G10-F10),"")</f>
        <v/>
      </c>
    </row>
    <row r="11" customFormat="false" ht="79.5" hidden="false" customHeight="true" outlineLevel="0" collapsed="false">
      <c r="A11" s="6" t="n">
        <v>6</v>
      </c>
      <c r="B11" s="7" t="s">
        <v>12</v>
      </c>
      <c r="C11" s="6" t="s">
        <v>28</v>
      </c>
      <c r="D11" s="8" t="s">
        <v>29</v>
      </c>
      <c r="E11" s="8" t="s">
        <v>30</v>
      </c>
      <c r="F11" s="9"/>
      <c r="G11" s="9"/>
      <c r="H11" s="10" t="str">
        <f aca="false">IF(AND(F11&lt;&gt;"",G11&lt;&gt;""),ABS(G11-F11),"")</f>
        <v/>
      </c>
    </row>
    <row r="12" customFormat="false" ht="79.5" hidden="false" customHeight="true" outlineLevel="0" collapsed="false">
      <c r="A12" s="6" t="n">
        <v>7</v>
      </c>
      <c r="B12" s="7" t="s">
        <v>12</v>
      </c>
      <c r="C12" s="6" t="s">
        <v>31</v>
      </c>
      <c r="D12" s="8" t="s">
        <v>32</v>
      </c>
      <c r="E12" s="8" t="s">
        <v>33</v>
      </c>
      <c r="F12" s="9"/>
      <c r="G12" s="9"/>
      <c r="H12" s="10" t="str">
        <f aca="false">IF(AND(F12&lt;&gt;"",G12&lt;&gt;""),ABS(G12-F12),"")</f>
        <v/>
      </c>
    </row>
    <row r="13" customFormat="false" ht="79.5" hidden="false" customHeight="true" outlineLevel="0" collapsed="false">
      <c r="A13" s="6" t="n">
        <v>8</v>
      </c>
      <c r="B13" s="7" t="s">
        <v>12</v>
      </c>
      <c r="C13" s="6" t="s">
        <v>34</v>
      </c>
      <c r="D13" s="8" t="s">
        <v>35</v>
      </c>
      <c r="E13" s="8" t="s">
        <v>36</v>
      </c>
      <c r="F13" s="9"/>
      <c r="G13" s="9"/>
      <c r="H13" s="10" t="str">
        <f aca="false">IF(AND(F13&lt;&gt;"",G13&lt;&gt;""),ABS(G13-F13),"")</f>
        <v/>
      </c>
    </row>
    <row r="14" customFormat="false" ht="79.5" hidden="false" customHeight="true" outlineLevel="0" collapsed="false">
      <c r="A14" s="6" t="n">
        <v>9</v>
      </c>
      <c r="B14" s="7" t="s">
        <v>12</v>
      </c>
      <c r="C14" s="6" t="s">
        <v>37</v>
      </c>
      <c r="D14" s="8" t="s">
        <v>38</v>
      </c>
      <c r="E14" s="8" t="s">
        <v>39</v>
      </c>
      <c r="F14" s="9"/>
      <c r="G14" s="9"/>
      <c r="H14" s="10" t="str">
        <f aca="false">IF(AND(F14&lt;&gt;"",G14&lt;&gt;""),ABS(G14-F14),"")</f>
        <v/>
      </c>
    </row>
    <row r="15" customFormat="false" ht="79.5" hidden="false" customHeight="true" outlineLevel="0" collapsed="false">
      <c r="A15" s="6" t="n">
        <v>10</v>
      </c>
      <c r="B15" s="7" t="s">
        <v>12</v>
      </c>
      <c r="C15" s="6" t="s">
        <v>40</v>
      </c>
      <c r="D15" s="8" t="s">
        <v>41</v>
      </c>
      <c r="E15" s="8" t="s">
        <v>42</v>
      </c>
      <c r="F15" s="9"/>
      <c r="G15" s="9"/>
      <c r="H15" s="10" t="str">
        <f aca="false">IF(AND(F15&lt;&gt;"",G15&lt;&gt;""),ABS(G15-F15),"")</f>
        <v/>
      </c>
    </row>
    <row r="16" customFormat="false" ht="79.5" hidden="false" customHeight="true" outlineLevel="0" collapsed="false">
      <c r="A16" s="6" t="n">
        <v>11</v>
      </c>
      <c r="B16" s="7" t="s">
        <v>12</v>
      </c>
      <c r="C16" s="6" t="s">
        <v>43</v>
      </c>
      <c r="D16" s="8" t="s">
        <v>44</v>
      </c>
      <c r="E16" s="8" t="s">
        <v>45</v>
      </c>
      <c r="F16" s="9"/>
      <c r="G16" s="9"/>
      <c r="H16" s="10" t="str">
        <f aca="false">IF(AND(F16&lt;&gt;"",G16&lt;&gt;""),ABS(G16-F16),"")</f>
        <v/>
      </c>
    </row>
    <row r="17" customFormat="false" ht="79.5" hidden="false" customHeight="true" outlineLevel="0" collapsed="false">
      <c r="A17" s="6" t="n">
        <v>12</v>
      </c>
      <c r="B17" s="7" t="s">
        <v>12</v>
      </c>
      <c r="C17" s="6" t="s">
        <v>46</v>
      </c>
      <c r="D17" s="8" t="s">
        <v>47</v>
      </c>
      <c r="E17" s="8" t="s">
        <v>48</v>
      </c>
      <c r="F17" s="9"/>
      <c r="G17" s="9"/>
      <c r="H17" s="10" t="str">
        <f aca="false">IF(AND(F17&lt;&gt;"",G17&lt;&gt;""),ABS(G17-F17),"")</f>
        <v/>
      </c>
    </row>
    <row r="18" customFormat="false" ht="24.75" hidden="false" customHeight="true" outlineLevel="0" collapsed="false">
      <c r="A18" s="5" t="s">
        <v>49</v>
      </c>
      <c r="B18" s="5"/>
      <c r="C18" s="5"/>
      <c r="D18" s="5"/>
      <c r="E18" s="5"/>
      <c r="F18" s="5"/>
      <c r="G18" s="5"/>
      <c r="H18" s="5"/>
    </row>
    <row r="19" customFormat="false" ht="79.5" hidden="false" customHeight="true" outlineLevel="0" collapsed="false">
      <c r="A19" s="6" t="n">
        <v>13</v>
      </c>
      <c r="B19" s="7" t="s">
        <v>50</v>
      </c>
      <c r="C19" s="6" t="s">
        <v>51</v>
      </c>
      <c r="D19" s="8" t="s">
        <v>52</v>
      </c>
      <c r="E19" s="8" t="s">
        <v>53</v>
      </c>
      <c r="F19" s="9"/>
      <c r="G19" s="9"/>
      <c r="H19" s="10" t="str">
        <f aca="false">IF(AND(F19&lt;&gt;"",G19&lt;&gt;""),ABS(G19-F19),"")</f>
        <v/>
      </c>
    </row>
    <row r="20" customFormat="false" ht="79.5" hidden="false" customHeight="true" outlineLevel="0" collapsed="false">
      <c r="A20" s="6" t="n">
        <v>14</v>
      </c>
      <c r="B20" s="7" t="s">
        <v>50</v>
      </c>
      <c r="C20" s="6" t="s">
        <v>54</v>
      </c>
      <c r="D20" s="8" t="s">
        <v>55</v>
      </c>
      <c r="E20" s="8" t="s">
        <v>56</v>
      </c>
      <c r="F20" s="9"/>
      <c r="G20" s="9"/>
      <c r="H20" s="10" t="str">
        <f aca="false">IF(AND(F20&lt;&gt;"",G20&lt;&gt;""),ABS(G20-F20),"")</f>
        <v/>
      </c>
    </row>
    <row r="21" customFormat="false" ht="79.5" hidden="false" customHeight="true" outlineLevel="0" collapsed="false">
      <c r="A21" s="6" t="n">
        <v>15</v>
      </c>
      <c r="B21" s="7" t="s">
        <v>50</v>
      </c>
      <c r="C21" s="6" t="s">
        <v>57</v>
      </c>
      <c r="D21" s="8" t="s">
        <v>58</v>
      </c>
      <c r="E21" s="8" t="s">
        <v>59</v>
      </c>
      <c r="F21" s="9"/>
      <c r="G21" s="9"/>
      <c r="H21" s="10" t="str">
        <f aca="false">IF(AND(F21&lt;&gt;"",G21&lt;&gt;""),ABS(G21-F21),"")</f>
        <v/>
      </c>
    </row>
    <row r="22" customFormat="false" ht="79.5" hidden="false" customHeight="true" outlineLevel="0" collapsed="false">
      <c r="A22" s="6" t="n">
        <v>16</v>
      </c>
      <c r="B22" s="7" t="s">
        <v>50</v>
      </c>
      <c r="C22" s="6" t="s">
        <v>60</v>
      </c>
      <c r="D22" s="8" t="s">
        <v>61</v>
      </c>
      <c r="E22" s="8" t="s">
        <v>62</v>
      </c>
      <c r="F22" s="9"/>
      <c r="G22" s="9"/>
      <c r="H22" s="10" t="str">
        <f aca="false">IF(AND(F22&lt;&gt;"",G22&lt;&gt;""),ABS(G22-F22),"")</f>
        <v/>
      </c>
    </row>
    <row r="23" customFormat="false" ht="79.5" hidden="false" customHeight="true" outlineLevel="0" collapsed="false">
      <c r="A23" s="6" t="n">
        <v>17</v>
      </c>
      <c r="B23" s="7" t="s">
        <v>50</v>
      </c>
      <c r="C23" s="6" t="s">
        <v>63</v>
      </c>
      <c r="D23" s="8" t="s">
        <v>64</v>
      </c>
      <c r="E23" s="8" t="s">
        <v>65</v>
      </c>
      <c r="F23" s="9"/>
      <c r="G23" s="9"/>
      <c r="H23" s="10" t="str">
        <f aca="false">IF(AND(F23&lt;&gt;"",G23&lt;&gt;""),ABS(G23-F23),"")</f>
        <v/>
      </c>
    </row>
    <row r="24" customFormat="false" ht="79.5" hidden="false" customHeight="true" outlineLevel="0" collapsed="false">
      <c r="A24" s="6" t="n">
        <v>18</v>
      </c>
      <c r="B24" s="7" t="s">
        <v>50</v>
      </c>
      <c r="C24" s="6" t="s">
        <v>66</v>
      </c>
      <c r="D24" s="8" t="s">
        <v>67</v>
      </c>
      <c r="E24" s="8" t="s">
        <v>68</v>
      </c>
      <c r="F24" s="9"/>
      <c r="G24" s="9"/>
      <c r="H24" s="10" t="str">
        <f aca="false">IF(AND(F24&lt;&gt;"",G24&lt;&gt;""),ABS(G24-F24),"")</f>
        <v/>
      </c>
    </row>
    <row r="25" customFormat="false" ht="79.5" hidden="false" customHeight="true" outlineLevel="0" collapsed="false">
      <c r="A25" s="6" t="n">
        <v>19</v>
      </c>
      <c r="B25" s="7" t="s">
        <v>50</v>
      </c>
      <c r="C25" s="6" t="s">
        <v>69</v>
      </c>
      <c r="D25" s="8" t="s">
        <v>70</v>
      </c>
      <c r="E25" s="8" t="s">
        <v>71</v>
      </c>
      <c r="F25" s="9"/>
      <c r="G25" s="9"/>
      <c r="H25" s="10" t="str">
        <f aca="false">IF(AND(F25&lt;&gt;"",G25&lt;&gt;""),ABS(G25-F25),"")</f>
        <v/>
      </c>
    </row>
    <row r="26" customFormat="false" ht="79.5" hidden="false" customHeight="true" outlineLevel="0" collapsed="false">
      <c r="A26" s="6" t="n">
        <v>20</v>
      </c>
      <c r="B26" s="7" t="s">
        <v>50</v>
      </c>
      <c r="C26" s="6" t="s">
        <v>72</v>
      </c>
      <c r="D26" s="8" t="s">
        <v>73</v>
      </c>
      <c r="E26" s="8" t="s">
        <v>74</v>
      </c>
      <c r="F26" s="9"/>
      <c r="G26" s="9"/>
      <c r="H26" s="10" t="str">
        <f aca="false">IF(AND(F26&lt;&gt;"",G26&lt;&gt;""),ABS(G26-F26),"")</f>
        <v/>
      </c>
    </row>
    <row r="27" customFormat="false" ht="79.5" hidden="false" customHeight="true" outlineLevel="0" collapsed="false">
      <c r="A27" s="6" t="n">
        <v>21</v>
      </c>
      <c r="B27" s="7" t="s">
        <v>50</v>
      </c>
      <c r="C27" s="6" t="s">
        <v>75</v>
      </c>
      <c r="D27" s="8" t="s">
        <v>76</v>
      </c>
      <c r="E27" s="8" t="s">
        <v>77</v>
      </c>
      <c r="F27" s="9"/>
      <c r="G27" s="9"/>
      <c r="H27" s="10" t="str">
        <f aca="false">IF(AND(F27&lt;&gt;"",G27&lt;&gt;""),ABS(G27-F27),"")</f>
        <v/>
      </c>
    </row>
    <row r="28" customFormat="false" ht="79.5" hidden="false" customHeight="true" outlineLevel="0" collapsed="false">
      <c r="A28" s="6" t="n">
        <v>22</v>
      </c>
      <c r="B28" s="7" t="s">
        <v>50</v>
      </c>
      <c r="C28" s="6" t="s">
        <v>78</v>
      </c>
      <c r="D28" s="8" t="s">
        <v>79</v>
      </c>
      <c r="E28" s="8" t="s">
        <v>80</v>
      </c>
      <c r="F28" s="9"/>
      <c r="G28" s="9"/>
      <c r="H28" s="10" t="str">
        <f aca="false">IF(AND(F28&lt;&gt;"",G28&lt;&gt;""),ABS(G28-F28),"")</f>
        <v/>
      </c>
    </row>
    <row r="29" customFormat="false" ht="79.5" hidden="false" customHeight="true" outlineLevel="0" collapsed="false">
      <c r="A29" s="6" t="n">
        <v>23</v>
      </c>
      <c r="B29" s="7" t="s">
        <v>50</v>
      </c>
      <c r="C29" s="6" t="s">
        <v>81</v>
      </c>
      <c r="D29" s="8" t="s">
        <v>82</v>
      </c>
      <c r="E29" s="8" t="s">
        <v>83</v>
      </c>
      <c r="F29" s="9"/>
      <c r="G29" s="9"/>
      <c r="H29" s="10" t="str">
        <f aca="false">IF(AND(F29&lt;&gt;"",G29&lt;&gt;""),ABS(G29-F29),"")</f>
        <v/>
      </c>
    </row>
    <row r="30" customFormat="false" ht="79.5" hidden="false" customHeight="true" outlineLevel="0" collapsed="false">
      <c r="A30" s="6" t="n">
        <v>24</v>
      </c>
      <c r="B30" s="7" t="s">
        <v>50</v>
      </c>
      <c r="C30" s="6" t="s">
        <v>84</v>
      </c>
      <c r="D30" s="8" t="s">
        <v>85</v>
      </c>
      <c r="E30" s="8" t="s">
        <v>86</v>
      </c>
      <c r="F30" s="9"/>
      <c r="G30" s="9"/>
      <c r="H30" s="10" t="str">
        <f aca="false">IF(AND(F30&lt;&gt;"",G30&lt;&gt;""),ABS(G30-F30),"")</f>
        <v/>
      </c>
    </row>
    <row r="31" customFormat="false" ht="24.75" hidden="false" customHeight="true" outlineLevel="0" collapsed="false">
      <c r="A31" s="5" t="s">
        <v>87</v>
      </c>
      <c r="B31" s="5"/>
      <c r="C31" s="5"/>
      <c r="D31" s="5"/>
      <c r="E31" s="5"/>
      <c r="F31" s="5"/>
      <c r="G31" s="5"/>
      <c r="H31" s="5"/>
    </row>
    <row r="32" customFormat="false" ht="79.5" hidden="false" customHeight="true" outlineLevel="0" collapsed="false">
      <c r="A32" s="6" t="n">
        <v>25</v>
      </c>
      <c r="B32" s="7" t="s">
        <v>88</v>
      </c>
      <c r="C32" s="6" t="s">
        <v>89</v>
      </c>
      <c r="D32" s="8" t="s">
        <v>90</v>
      </c>
      <c r="E32" s="8" t="s">
        <v>91</v>
      </c>
      <c r="F32" s="9"/>
      <c r="G32" s="9"/>
      <c r="H32" s="10" t="str">
        <f aca="false">IF(AND(F32&lt;&gt;"",G32&lt;&gt;""),ABS(G32-F32),"")</f>
        <v/>
      </c>
    </row>
    <row r="33" customFormat="false" ht="79.5" hidden="false" customHeight="true" outlineLevel="0" collapsed="false">
      <c r="A33" s="6" t="n">
        <v>26</v>
      </c>
      <c r="B33" s="7" t="s">
        <v>88</v>
      </c>
      <c r="C33" s="6" t="s">
        <v>92</v>
      </c>
      <c r="D33" s="8" t="s">
        <v>93</v>
      </c>
      <c r="E33" s="8" t="s">
        <v>94</v>
      </c>
      <c r="F33" s="9"/>
      <c r="G33" s="9"/>
      <c r="H33" s="10" t="str">
        <f aca="false">IF(AND(F33&lt;&gt;"",G33&lt;&gt;""),ABS(G33-F33),"")</f>
        <v/>
      </c>
    </row>
    <row r="34" customFormat="false" ht="79.5" hidden="false" customHeight="true" outlineLevel="0" collapsed="false">
      <c r="A34" s="6" t="n">
        <v>27</v>
      </c>
      <c r="B34" s="7" t="s">
        <v>88</v>
      </c>
      <c r="C34" s="6" t="s">
        <v>95</v>
      </c>
      <c r="D34" s="8" t="s">
        <v>96</v>
      </c>
      <c r="E34" s="8" t="s">
        <v>97</v>
      </c>
      <c r="F34" s="9"/>
      <c r="G34" s="9"/>
      <c r="H34" s="10" t="str">
        <f aca="false">IF(AND(F34&lt;&gt;"",G34&lt;&gt;""),ABS(G34-F34),"")</f>
        <v/>
      </c>
    </row>
    <row r="35" customFormat="false" ht="79.5" hidden="false" customHeight="true" outlineLevel="0" collapsed="false">
      <c r="A35" s="6" t="n">
        <v>28</v>
      </c>
      <c r="B35" s="7" t="s">
        <v>88</v>
      </c>
      <c r="C35" s="6" t="s">
        <v>98</v>
      </c>
      <c r="D35" s="8" t="s">
        <v>99</v>
      </c>
      <c r="E35" s="8" t="s">
        <v>100</v>
      </c>
      <c r="F35" s="9"/>
      <c r="G35" s="9"/>
      <c r="H35" s="10" t="str">
        <f aca="false">IF(AND(F35&lt;&gt;"",G35&lt;&gt;""),ABS(G35-F35),"")</f>
        <v/>
      </c>
    </row>
    <row r="36" customFormat="false" ht="79.5" hidden="false" customHeight="true" outlineLevel="0" collapsed="false">
      <c r="A36" s="6" t="n">
        <v>29</v>
      </c>
      <c r="B36" s="7" t="s">
        <v>88</v>
      </c>
      <c r="C36" s="6" t="s">
        <v>101</v>
      </c>
      <c r="D36" s="8" t="s">
        <v>102</v>
      </c>
      <c r="E36" s="8" t="s">
        <v>103</v>
      </c>
      <c r="F36" s="9"/>
      <c r="G36" s="9"/>
      <c r="H36" s="10" t="str">
        <f aca="false">IF(AND(F36&lt;&gt;"",G36&lt;&gt;""),ABS(G36-F36),"")</f>
        <v/>
      </c>
    </row>
    <row r="37" customFormat="false" ht="79.5" hidden="false" customHeight="true" outlineLevel="0" collapsed="false">
      <c r="A37" s="6" t="n">
        <v>30</v>
      </c>
      <c r="B37" s="7" t="s">
        <v>88</v>
      </c>
      <c r="C37" s="6" t="s">
        <v>104</v>
      </c>
      <c r="D37" s="8" t="s">
        <v>105</v>
      </c>
      <c r="E37" s="8" t="s">
        <v>106</v>
      </c>
      <c r="F37" s="9"/>
      <c r="G37" s="9"/>
      <c r="H37" s="10" t="str">
        <f aca="false">IF(AND(F37&lt;&gt;"",G37&lt;&gt;""),ABS(G37-F37),"")</f>
        <v/>
      </c>
    </row>
    <row r="38" customFormat="false" ht="79.5" hidden="false" customHeight="true" outlineLevel="0" collapsed="false">
      <c r="A38" s="6" t="n">
        <v>31</v>
      </c>
      <c r="B38" s="7" t="s">
        <v>88</v>
      </c>
      <c r="C38" s="6" t="s">
        <v>107</v>
      </c>
      <c r="D38" s="8" t="s">
        <v>108</v>
      </c>
      <c r="E38" s="8" t="s">
        <v>109</v>
      </c>
      <c r="F38" s="9"/>
      <c r="G38" s="9"/>
      <c r="H38" s="10" t="str">
        <f aca="false">IF(AND(F38&lt;&gt;"",G38&lt;&gt;""),ABS(G38-F38),"")</f>
        <v/>
      </c>
    </row>
    <row r="39" customFormat="false" ht="79.5" hidden="false" customHeight="true" outlineLevel="0" collapsed="false">
      <c r="A39" s="6" t="n">
        <v>32</v>
      </c>
      <c r="B39" s="7" t="s">
        <v>88</v>
      </c>
      <c r="C39" s="6" t="s">
        <v>110</v>
      </c>
      <c r="D39" s="8" t="s">
        <v>111</v>
      </c>
      <c r="E39" s="8" t="s">
        <v>112</v>
      </c>
      <c r="F39" s="9"/>
      <c r="G39" s="9"/>
      <c r="H39" s="10" t="str">
        <f aca="false">IF(AND(F39&lt;&gt;"",G39&lt;&gt;""),ABS(G39-F39),"")</f>
        <v/>
      </c>
    </row>
    <row r="40" customFormat="false" ht="79.5" hidden="false" customHeight="true" outlineLevel="0" collapsed="false">
      <c r="A40" s="6" t="n">
        <v>33</v>
      </c>
      <c r="B40" s="7" t="s">
        <v>88</v>
      </c>
      <c r="C40" s="6" t="s">
        <v>113</v>
      </c>
      <c r="D40" s="8" t="s">
        <v>114</v>
      </c>
      <c r="E40" s="8" t="s">
        <v>115</v>
      </c>
      <c r="F40" s="9"/>
      <c r="G40" s="9"/>
      <c r="H40" s="10" t="str">
        <f aca="false">IF(AND(F40&lt;&gt;"",G40&lt;&gt;""),ABS(G40-F40),"")</f>
        <v/>
      </c>
    </row>
    <row r="41" customFormat="false" ht="79.5" hidden="false" customHeight="true" outlineLevel="0" collapsed="false">
      <c r="A41" s="6" t="n">
        <v>34</v>
      </c>
      <c r="B41" s="7" t="s">
        <v>88</v>
      </c>
      <c r="C41" s="6" t="s">
        <v>116</v>
      </c>
      <c r="D41" s="8" t="s">
        <v>117</v>
      </c>
      <c r="E41" s="8" t="s">
        <v>118</v>
      </c>
      <c r="F41" s="9"/>
      <c r="G41" s="9"/>
      <c r="H41" s="10" t="str">
        <f aca="false">IF(AND(F41&lt;&gt;"",G41&lt;&gt;""),ABS(G41-F41),"")</f>
        <v/>
      </c>
    </row>
    <row r="42" customFormat="false" ht="79.5" hidden="false" customHeight="true" outlineLevel="0" collapsed="false">
      <c r="A42" s="6" t="n">
        <v>35</v>
      </c>
      <c r="B42" s="7" t="s">
        <v>88</v>
      </c>
      <c r="C42" s="6" t="s">
        <v>119</v>
      </c>
      <c r="D42" s="8" t="s">
        <v>120</v>
      </c>
      <c r="E42" s="8" t="s">
        <v>121</v>
      </c>
      <c r="F42" s="9"/>
      <c r="G42" s="9"/>
      <c r="H42" s="10" t="str">
        <f aca="false">IF(AND(F42&lt;&gt;"",G42&lt;&gt;""),ABS(G42-F42),"")</f>
        <v/>
      </c>
    </row>
    <row r="43" customFormat="false" ht="79.5" hidden="false" customHeight="true" outlineLevel="0" collapsed="false">
      <c r="A43" s="6" t="n">
        <v>36</v>
      </c>
      <c r="B43" s="7" t="s">
        <v>88</v>
      </c>
      <c r="C43" s="6" t="s">
        <v>122</v>
      </c>
      <c r="D43" s="8" t="s">
        <v>123</v>
      </c>
      <c r="E43" s="8" t="s">
        <v>124</v>
      </c>
      <c r="F43" s="9"/>
      <c r="G43" s="9"/>
      <c r="H43" s="10" t="str">
        <f aca="false">IF(AND(F43&lt;&gt;"",G43&lt;&gt;""),ABS(G43-F43),"")</f>
        <v/>
      </c>
    </row>
    <row r="44" customFormat="false" ht="24.75" hidden="false" customHeight="true" outlineLevel="0" collapsed="false">
      <c r="A44" s="5" t="s">
        <v>125</v>
      </c>
      <c r="B44" s="5"/>
      <c r="C44" s="5"/>
      <c r="D44" s="5"/>
      <c r="E44" s="5"/>
      <c r="F44" s="5"/>
      <c r="G44" s="5"/>
      <c r="H44" s="5"/>
    </row>
    <row r="45" customFormat="false" ht="79.5" hidden="false" customHeight="true" outlineLevel="0" collapsed="false">
      <c r="A45" s="6" t="n">
        <v>37</v>
      </c>
      <c r="B45" s="7" t="s">
        <v>126</v>
      </c>
      <c r="C45" s="6" t="s">
        <v>127</v>
      </c>
      <c r="D45" s="8" t="s">
        <v>128</v>
      </c>
      <c r="E45" s="8" t="s">
        <v>129</v>
      </c>
      <c r="F45" s="9"/>
      <c r="G45" s="9"/>
      <c r="H45" s="10" t="str">
        <f aca="false">IF(AND(F45&lt;&gt;"",G45&lt;&gt;""),ABS(G45-F45),"")</f>
        <v/>
      </c>
    </row>
    <row r="46" customFormat="false" ht="79.5" hidden="false" customHeight="true" outlineLevel="0" collapsed="false">
      <c r="A46" s="6" t="n">
        <v>38</v>
      </c>
      <c r="B46" s="7" t="s">
        <v>126</v>
      </c>
      <c r="C46" s="6" t="s">
        <v>130</v>
      </c>
      <c r="D46" s="8" t="s">
        <v>131</v>
      </c>
      <c r="E46" s="8" t="s">
        <v>132</v>
      </c>
      <c r="F46" s="9"/>
      <c r="G46" s="9"/>
      <c r="H46" s="10" t="str">
        <f aca="false">IF(AND(F46&lt;&gt;"",G46&lt;&gt;""),ABS(G46-F46),"")</f>
        <v/>
      </c>
    </row>
    <row r="47" customFormat="false" ht="79.5" hidden="false" customHeight="true" outlineLevel="0" collapsed="false">
      <c r="A47" s="6" t="n">
        <v>39</v>
      </c>
      <c r="B47" s="7" t="s">
        <v>126</v>
      </c>
      <c r="C47" s="6" t="s">
        <v>133</v>
      </c>
      <c r="D47" s="8" t="s">
        <v>134</v>
      </c>
      <c r="E47" s="8" t="s">
        <v>135</v>
      </c>
      <c r="F47" s="9"/>
      <c r="G47" s="9"/>
      <c r="H47" s="10" t="str">
        <f aca="false">IF(AND(F47&lt;&gt;"",G47&lt;&gt;""),ABS(G47-F47),"")</f>
        <v/>
      </c>
    </row>
    <row r="48" customFormat="false" ht="79.5" hidden="false" customHeight="true" outlineLevel="0" collapsed="false">
      <c r="A48" s="6" t="n">
        <v>40</v>
      </c>
      <c r="B48" s="7" t="s">
        <v>126</v>
      </c>
      <c r="C48" s="6" t="s">
        <v>136</v>
      </c>
      <c r="D48" s="8" t="s">
        <v>137</v>
      </c>
      <c r="E48" s="8" t="s">
        <v>138</v>
      </c>
      <c r="F48" s="9"/>
      <c r="G48" s="9"/>
      <c r="H48" s="10" t="str">
        <f aca="false">IF(AND(F48&lt;&gt;"",G48&lt;&gt;""),ABS(G48-F48),"")</f>
        <v/>
      </c>
    </row>
    <row r="49" customFormat="false" ht="79.5" hidden="false" customHeight="true" outlineLevel="0" collapsed="false">
      <c r="A49" s="6" t="n">
        <v>41</v>
      </c>
      <c r="B49" s="7" t="s">
        <v>126</v>
      </c>
      <c r="C49" s="6" t="s">
        <v>139</v>
      </c>
      <c r="D49" s="8" t="s">
        <v>140</v>
      </c>
      <c r="E49" s="8" t="s">
        <v>141</v>
      </c>
      <c r="F49" s="9"/>
      <c r="G49" s="9"/>
      <c r="H49" s="10" t="str">
        <f aca="false">IF(AND(F49&lt;&gt;"",G49&lt;&gt;""),ABS(G49-F49),"")</f>
        <v/>
      </c>
    </row>
    <row r="50" customFormat="false" ht="79.5" hidden="false" customHeight="true" outlineLevel="0" collapsed="false">
      <c r="A50" s="6" t="n">
        <v>42</v>
      </c>
      <c r="B50" s="7" t="s">
        <v>126</v>
      </c>
      <c r="C50" s="6" t="s">
        <v>142</v>
      </c>
      <c r="D50" s="8" t="s">
        <v>143</v>
      </c>
      <c r="E50" s="8" t="s">
        <v>144</v>
      </c>
      <c r="F50" s="9"/>
      <c r="G50" s="9"/>
      <c r="H50" s="10" t="str">
        <f aca="false">IF(AND(F50&lt;&gt;"",G50&lt;&gt;""),ABS(G50-F50),"")</f>
        <v/>
      </c>
    </row>
    <row r="51" customFormat="false" ht="79.5" hidden="false" customHeight="true" outlineLevel="0" collapsed="false">
      <c r="A51" s="6" t="n">
        <v>43</v>
      </c>
      <c r="B51" s="7" t="s">
        <v>126</v>
      </c>
      <c r="C51" s="6" t="s">
        <v>145</v>
      </c>
      <c r="D51" s="8" t="s">
        <v>146</v>
      </c>
      <c r="E51" s="8" t="s">
        <v>147</v>
      </c>
      <c r="F51" s="9"/>
      <c r="G51" s="9"/>
      <c r="H51" s="10" t="str">
        <f aca="false">IF(AND(F51&lt;&gt;"",G51&lt;&gt;""),ABS(G51-F51),"")</f>
        <v/>
      </c>
    </row>
    <row r="52" customFormat="false" ht="79.5" hidden="false" customHeight="true" outlineLevel="0" collapsed="false">
      <c r="A52" s="6" t="n">
        <v>44</v>
      </c>
      <c r="B52" s="7" t="s">
        <v>126</v>
      </c>
      <c r="C52" s="6" t="s">
        <v>148</v>
      </c>
      <c r="D52" s="8" t="s">
        <v>149</v>
      </c>
      <c r="E52" s="8" t="s">
        <v>150</v>
      </c>
      <c r="F52" s="9"/>
      <c r="G52" s="9"/>
      <c r="H52" s="10" t="str">
        <f aca="false">IF(AND(F52&lt;&gt;"",G52&lt;&gt;""),ABS(G52-F52),"")</f>
        <v/>
      </c>
    </row>
    <row r="53" customFormat="false" ht="79.5" hidden="false" customHeight="true" outlineLevel="0" collapsed="false">
      <c r="A53" s="6" t="n">
        <v>45</v>
      </c>
      <c r="B53" s="7" t="s">
        <v>126</v>
      </c>
      <c r="C53" s="6" t="s">
        <v>151</v>
      </c>
      <c r="D53" s="8" t="s">
        <v>152</v>
      </c>
      <c r="E53" s="8" t="s">
        <v>153</v>
      </c>
      <c r="F53" s="9"/>
      <c r="G53" s="9"/>
      <c r="H53" s="10" t="str">
        <f aca="false">IF(AND(F53&lt;&gt;"",G53&lt;&gt;""),ABS(G53-F53),"")</f>
        <v/>
      </c>
    </row>
    <row r="54" customFormat="false" ht="79.5" hidden="false" customHeight="true" outlineLevel="0" collapsed="false">
      <c r="A54" s="6" t="n">
        <v>46</v>
      </c>
      <c r="B54" s="7" t="s">
        <v>126</v>
      </c>
      <c r="C54" s="6" t="s">
        <v>154</v>
      </c>
      <c r="D54" s="8" t="s">
        <v>155</v>
      </c>
      <c r="E54" s="8" t="s">
        <v>156</v>
      </c>
      <c r="F54" s="9"/>
      <c r="G54" s="9"/>
      <c r="H54" s="10" t="str">
        <f aca="false">IF(AND(F54&lt;&gt;"",G54&lt;&gt;""),ABS(G54-F54),"")</f>
        <v/>
      </c>
    </row>
    <row r="55" customFormat="false" ht="79.5" hidden="false" customHeight="true" outlineLevel="0" collapsed="false">
      <c r="A55" s="6" t="n">
        <v>47</v>
      </c>
      <c r="B55" s="7" t="s">
        <v>126</v>
      </c>
      <c r="C55" s="6" t="s">
        <v>157</v>
      </c>
      <c r="D55" s="8" t="s">
        <v>158</v>
      </c>
      <c r="E55" s="8" t="s">
        <v>159</v>
      </c>
      <c r="F55" s="9"/>
      <c r="G55" s="9"/>
      <c r="H55" s="10" t="str">
        <f aca="false">IF(AND(F55&lt;&gt;"",G55&lt;&gt;""),ABS(G55-F55),"")</f>
        <v/>
      </c>
    </row>
    <row r="56" customFormat="false" ht="79.5" hidden="false" customHeight="true" outlineLevel="0" collapsed="false">
      <c r="A56" s="6" t="n">
        <v>48</v>
      </c>
      <c r="B56" s="7" t="s">
        <v>126</v>
      </c>
      <c r="C56" s="6" t="s">
        <v>160</v>
      </c>
      <c r="D56" s="8" t="s">
        <v>161</v>
      </c>
      <c r="E56" s="8" t="s">
        <v>162</v>
      </c>
      <c r="F56" s="9"/>
      <c r="G56" s="9"/>
      <c r="H56" s="10" t="str">
        <f aca="false">IF(AND(F56&lt;&gt;"",G56&lt;&gt;""),ABS(G56-F56),"")</f>
        <v/>
      </c>
    </row>
  </sheetData>
  <mergeCells count="7">
    <mergeCell ref="A1:H1"/>
    <mergeCell ref="A2:H2"/>
    <mergeCell ref="A3:H3"/>
    <mergeCell ref="A5:H5"/>
    <mergeCell ref="A18:H18"/>
    <mergeCell ref="A31:H31"/>
    <mergeCell ref="A44:H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G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8"/>
    <col collapsed="false" customWidth="true" hidden="false" outlineLevel="0" max="3" min="2" style="0" width="22"/>
    <col collapsed="false" customWidth="true" hidden="false" outlineLevel="0" max="4" min="4" style="0" width="18"/>
    <col collapsed="false" customWidth="true" hidden="false" outlineLevel="0" max="7" min="5" style="0" width="22"/>
  </cols>
  <sheetData>
    <row r="1" customFormat="false" ht="17.35" hidden="false" customHeight="false" outlineLevel="0" collapsed="false">
      <c r="A1" s="11" t="s">
        <v>163</v>
      </c>
      <c r="B1" s="11"/>
      <c r="C1" s="11"/>
      <c r="D1" s="11"/>
      <c r="E1" s="11"/>
      <c r="F1" s="11"/>
      <c r="G1" s="11"/>
    </row>
    <row r="3" customFormat="false" ht="26.85" hidden="false" customHeight="false" outlineLevel="0" collapsed="false">
      <c r="A3" s="4" t="s">
        <v>4</v>
      </c>
      <c r="B3" s="4" t="s">
        <v>164</v>
      </c>
      <c r="C3" s="4" t="s">
        <v>165</v>
      </c>
      <c r="D3" s="4" t="s">
        <v>166</v>
      </c>
      <c r="E3" s="4" t="s">
        <v>167</v>
      </c>
      <c r="F3" s="4" t="s">
        <v>168</v>
      </c>
      <c r="G3" s="4" t="s">
        <v>169</v>
      </c>
    </row>
    <row r="4" customFormat="false" ht="15" hidden="false" customHeight="false" outlineLevel="0" collapsed="false">
      <c r="A4" s="7" t="s">
        <v>12</v>
      </c>
      <c r="B4" s="12" t="str">
        <f aca="false">IFERROR(AVERAGE(Questions!F6:F17),"")</f>
        <v/>
      </c>
      <c r="C4" s="12" t="str">
        <f aca="false">IFERROR(AVERAGE(Questions!G6:G17),"")</f>
        <v/>
      </c>
      <c r="D4" s="12" t="str">
        <f aca="false">IFERROR(AVERAGE(Questions!H6:H17),"")</f>
        <v/>
      </c>
      <c r="E4" s="13" t="str">
        <f aca="false">IFERROR((1-D4/4)*100,"")</f>
        <v/>
      </c>
      <c r="F4" s="12" t="str">
        <f aca="false">IFERROR(B4/5*100,"")</f>
        <v/>
      </c>
      <c r="G4" s="6" t="str">
        <f aca="false">IFERROR(IF(E4&gt;=90,"STRENGTH",IF(E4&gt;=75,"OPPORTUNITY",IF(E4&gt;=60,"THREAT","WEAKNESS"))),"")</f>
        <v>STRENGTH</v>
      </c>
    </row>
    <row r="5" customFormat="false" ht="15" hidden="false" customHeight="false" outlineLevel="0" collapsed="false">
      <c r="A5" s="7" t="s">
        <v>50</v>
      </c>
      <c r="B5" s="12" t="str">
        <f aca="false">IFERROR(AVERAGE(Questions!F19:F30),"")</f>
        <v/>
      </c>
      <c r="C5" s="12" t="str">
        <f aca="false">IFERROR(AVERAGE(Questions!G19:G30),"")</f>
        <v/>
      </c>
      <c r="D5" s="12" t="str">
        <f aca="false">IFERROR(AVERAGE(Questions!H19:H30),"")</f>
        <v/>
      </c>
      <c r="E5" s="13" t="str">
        <f aca="false">IFERROR((1-D5/4)*100,"")</f>
        <v/>
      </c>
      <c r="F5" s="12" t="str">
        <f aca="false">IFERROR(B5/5*100,"")</f>
        <v/>
      </c>
      <c r="G5" s="6" t="str">
        <f aca="false">IFERROR(IF(E5&gt;=90,"STRENGTH",IF(E5&gt;=75,"OPPORTUNITY",IF(E5&gt;=60,"THREAT","WEAKNESS"))),"")</f>
        <v>STRENGTH</v>
      </c>
    </row>
    <row r="6" customFormat="false" ht="15" hidden="false" customHeight="false" outlineLevel="0" collapsed="false">
      <c r="A6" s="7" t="s">
        <v>88</v>
      </c>
      <c r="B6" s="12" t="str">
        <f aca="false">IFERROR(AVERAGE(Questions!F32:F43),"")</f>
        <v/>
      </c>
      <c r="C6" s="12" t="str">
        <f aca="false">IFERROR(AVERAGE(Questions!G32:G43),"")</f>
        <v/>
      </c>
      <c r="D6" s="12" t="str">
        <f aca="false">IFERROR(AVERAGE(Questions!H32:H43),"")</f>
        <v/>
      </c>
      <c r="E6" s="13" t="str">
        <f aca="false">IFERROR((1-D6/4)*100,"")</f>
        <v/>
      </c>
      <c r="F6" s="12" t="str">
        <f aca="false">IFERROR(B6/5*100,"")</f>
        <v/>
      </c>
      <c r="G6" s="6" t="str">
        <f aca="false">IFERROR(IF(E6&gt;=90,"STRENGTH",IF(E6&gt;=75,"OPPORTUNITY",IF(E6&gt;=60,"THREAT","WEAKNESS"))),"")</f>
        <v>STRENGTH</v>
      </c>
    </row>
    <row r="7" customFormat="false" ht="15" hidden="false" customHeight="false" outlineLevel="0" collapsed="false">
      <c r="A7" s="7" t="s">
        <v>126</v>
      </c>
      <c r="B7" s="12" t="str">
        <f aca="false">IFERROR(AVERAGE(Questions!F45:F56),"")</f>
        <v/>
      </c>
      <c r="C7" s="12" t="str">
        <f aca="false">IFERROR(AVERAGE(Questions!G45:G56),"")</f>
        <v/>
      </c>
      <c r="D7" s="12" t="str">
        <f aca="false">IFERROR(AVERAGE(Questions!H45:H56),"")</f>
        <v/>
      </c>
      <c r="E7" s="13" t="str">
        <f aca="false">IFERROR((1-D7/4)*100,"")</f>
        <v/>
      </c>
      <c r="F7" s="12" t="str">
        <f aca="false">IFERROR(B7/5*100,"")</f>
        <v/>
      </c>
      <c r="G7" s="6" t="str">
        <f aca="false">IFERROR(IF(E7&gt;=90,"STRENGTH",IF(E7&gt;=75,"OPPORTUNITY",IF(E7&gt;=60,"THREAT","WEAKNESS"))),"")</f>
        <v>STRENGTH</v>
      </c>
    </row>
    <row r="10" customFormat="false" ht="15" hidden="false" customHeight="false" outlineLevel="0" collapsed="false">
      <c r="A10" s="14" t="s">
        <v>170</v>
      </c>
      <c r="B10" s="14"/>
      <c r="C10" s="14"/>
      <c r="D10" s="14"/>
      <c r="E10" s="14"/>
      <c r="F10" s="14"/>
      <c r="G10" s="14"/>
    </row>
    <row r="11" customFormat="false" ht="15" hidden="false" customHeight="false" outlineLevel="0" collapsed="false">
      <c r="A11" s="7" t="s">
        <v>171</v>
      </c>
      <c r="B11" s="15" t="str">
        <f aca="false">IFERROR(AVERAGE(F4:F7),"")</f>
        <v/>
      </c>
    </row>
    <row r="12" customFormat="false" ht="15" hidden="false" customHeight="false" outlineLevel="0" collapsed="false">
      <c r="A12" s="7" t="s">
        <v>172</v>
      </c>
      <c r="B12" s="15" t="str">
        <f aca="false">IFERROR(AVERAGE(D4:D7),"")</f>
        <v/>
      </c>
    </row>
    <row r="13" customFormat="false" ht="15" hidden="false" customHeight="false" outlineLevel="0" collapsed="false">
      <c r="A13" s="7" t="s">
        <v>173</v>
      </c>
      <c r="B13" s="15" t="str">
        <f aca="false">IFERROR(AVERAGE(E4:E7),"")</f>
        <v/>
      </c>
    </row>
    <row r="14" customFormat="false" ht="15" hidden="false" customHeight="false" outlineLevel="0" collapsed="false">
      <c r="A14" s="7" t="s">
        <v>174</v>
      </c>
      <c r="B14" s="10" t="n">
        <f aca="false">COUNTA(Questions!F6:F56)</f>
        <v>0</v>
      </c>
    </row>
    <row r="15" customFormat="false" ht="15" hidden="false" customHeight="false" outlineLevel="0" collapsed="false">
      <c r="A15" s="7" t="s">
        <v>175</v>
      </c>
      <c r="B15" s="10" t="n">
        <f aca="false">COUNTIF(G4:G7,"STRENGTH")</f>
        <v>4</v>
      </c>
    </row>
    <row r="16" customFormat="false" ht="15" hidden="false" customHeight="false" outlineLevel="0" collapsed="false">
      <c r="A16" s="7" t="s">
        <v>176</v>
      </c>
      <c r="B16" s="10" t="n">
        <f aca="false">COUNTIF(G4:G7,"OPPORTUNITY")</f>
        <v>0</v>
      </c>
    </row>
    <row r="17" customFormat="false" ht="15" hidden="false" customHeight="false" outlineLevel="0" collapsed="false">
      <c r="A17" s="7" t="s">
        <v>177</v>
      </c>
      <c r="B17" s="10" t="n">
        <f aca="false">COUNTIF(G4:G7,"THREAT")</f>
        <v>0</v>
      </c>
    </row>
    <row r="18" customFormat="false" ht="15" hidden="false" customHeight="false" outlineLevel="0" collapsed="false">
      <c r="A18" s="7" t="s">
        <v>178</v>
      </c>
      <c r="B18" s="10" t="n">
        <f aca="false">COUNTIF(G4:G7,"WEAKNESS")</f>
        <v>0</v>
      </c>
    </row>
    <row r="19" customFormat="false" ht="15" hidden="false" customHeight="false" outlineLevel="0" collapsed="false">
      <c r="A19" s="7"/>
      <c r="B19" s="6"/>
    </row>
    <row r="20" customFormat="false" ht="23.85" hidden="false" customHeight="false" outlineLevel="0" collapsed="false">
      <c r="A20" s="7" t="s">
        <v>179</v>
      </c>
      <c r="B20" s="6"/>
    </row>
    <row r="21" customFormat="false" ht="23.85" hidden="false" customHeight="false" outlineLevel="0" collapsed="false">
      <c r="A21" s="7" t="s">
        <v>180</v>
      </c>
      <c r="B21" s="6" t="s">
        <v>181</v>
      </c>
    </row>
    <row r="22" customFormat="false" ht="35.05" hidden="false" customHeight="false" outlineLevel="0" collapsed="false">
      <c r="A22" s="7" t="s">
        <v>182</v>
      </c>
      <c r="B22" s="6" t="s">
        <v>183</v>
      </c>
    </row>
    <row r="23" customFormat="false" ht="35.05" hidden="false" customHeight="false" outlineLevel="0" collapsed="false">
      <c r="A23" s="7" t="s">
        <v>184</v>
      </c>
      <c r="B23" s="6" t="s">
        <v>185</v>
      </c>
    </row>
    <row r="24" customFormat="false" ht="35.05" hidden="false" customHeight="false" outlineLevel="0" collapsed="false">
      <c r="A24" s="7" t="s">
        <v>186</v>
      </c>
      <c r="B24" s="6" t="s">
        <v>187</v>
      </c>
    </row>
    <row r="25" customFormat="false" ht="35.05" hidden="false" customHeight="false" outlineLevel="0" collapsed="false">
      <c r="A25" s="7" t="s">
        <v>188</v>
      </c>
      <c r="B25" s="6" t="s">
        <v>189</v>
      </c>
    </row>
  </sheetData>
  <mergeCells count="2">
    <mergeCell ref="A1:G1"/>
    <mergeCell ref="A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15"/>
    <col collapsed="false" customWidth="true" hidden="false" outlineLevel="0" max="3" min="3" style="0" width="90"/>
  </cols>
  <sheetData>
    <row r="1" customFormat="false" ht="17.35" hidden="false" customHeight="false" outlineLevel="0" collapsed="false">
      <c r="A1" s="11" t="s">
        <v>190</v>
      </c>
      <c r="B1" s="11"/>
      <c r="C1" s="11"/>
    </row>
    <row r="3" customFormat="false" ht="15" hidden="false" customHeight="false" outlineLevel="0" collapsed="false">
      <c r="A3" s="4" t="s">
        <v>4</v>
      </c>
      <c r="B3" s="4" t="s">
        <v>191</v>
      </c>
      <c r="C3" s="4" t="s">
        <v>192</v>
      </c>
    </row>
    <row r="4" customFormat="false" ht="64.5" hidden="false" customHeight="true" outlineLevel="0" collapsed="false">
      <c r="A4" s="7" t="s">
        <v>12</v>
      </c>
      <c r="B4" s="8" t="s">
        <v>193</v>
      </c>
      <c r="C4" s="8" t="s">
        <v>194</v>
      </c>
    </row>
    <row r="5" customFormat="false" ht="64.5" hidden="false" customHeight="true" outlineLevel="0" collapsed="false">
      <c r="A5" s="7" t="s">
        <v>12</v>
      </c>
      <c r="B5" s="8" t="s">
        <v>195</v>
      </c>
      <c r="C5" s="8" t="s">
        <v>196</v>
      </c>
    </row>
    <row r="6" customFormat="false" ht="64.5" hidden="false" customHeight="true" outlineLevel="0" collapsed="false">
      <c r="A6" s="7" t="s">
        <v>12</v>
      </c>
      <c r="B6" s="8" t="s">
        <v>197</v>
      </c>
      <c r="C6" s="8" t="s">
        <v>198</v>
      </c>
    </row>
    <row r="7" customFormat="false" ht="64.5" hidden="false" customHeight="true" outlineLevel="0" collapsed="false">
      <c r="A7" s="7" t="s">
        <v>12</v>
      </c>
      <c r="B7" s="8" t="s">
        <v>199</v>
      </c>
      <c r="C7" s="8" t="s">
        <v>200</v>
      </c>
    </row>
    <row r="8" customFormat="false" ht="64.5" hidden="false" customHeight="true" outlineLevel="0" collapsed="false">
      <c r="A8" s="7" t="s">
        <v>50</v>
      </c>
      <c r="B8" s="8" t="s">
        <v>193</v>
      </c>
      <c r="C8" s="8" t="s">
        <v>201</v>
      </c>
    </row>
    <row r="9" customFormat="false" ht="64.5" hidden="false" customHeight="true" outlineLevel="0" collapsed="false">
      <c r="A9" s="7" t="s">
        <v>50</v>
      </c>
      <c r="B9" s="8" t="s">
        <v>195</v>
      </c>
      <c r="C9" s="8" t="s">
        <v>202</v>
      </c>
    </row>
    <row r="10" customFormat="false" ht="64.5" hidden="false" customHeight="true" outlineLevel="0" collapsed="false">
      <c r="A10" s="7" t="s">
        <v>50</v>
      </c>
      <c r="B10" s="8" t="s">
        <v>197</v>
      </c>
      <c r="C10" s="8" t="s">
        <v>203</v>
      </c>
    </row>
    <row r="11" customFormat="false" ht="64.5" hidden="false" customHeight="true" outlineLevel="0" collapsed="false">
      <c r="A11" s="7" t="s">
        <v>50</v>
      </c>
      <c r="B11" s="8" t="s">
        <v>199</v>
      </c>
      <c r="C11" s="8" t="s">
        <v>204</v>
      </c>
    </row>
    <row r="12" customFormat="false" ht="64.5" hidden="false" customHeight="true" outlineLevel="0" collapsed="false">
      <c r="A12" s="7" t="s">
        <v>88</v>
      </c>
      <c r="B12" s="8" t="s">
        <v>193</v>
      </c>
      <c r="C12" s="8" t="s">
        <v>205</v>
      </c>
    </row>
    <row r="13" customFormat="false" ht="64.5" hidden="false" customHeight="true" outlineLevel="0" collapsed="false">
      <c r="A13" s="7" t="s">
        <v>88</v>
      </c>
      <c r="B13" s="8" t="s">
        <v>195</v>
      </c>
      <c r="C13" s="8" t="s">
        <v>206</v>
      </c>
    </row>
    <row r="14" customFormat="false" ht="64.5" hidden="false" customHeight="true" outlineLevel="0" collapsed="false">
      <c r="A14" s="7" t="s">
        <v>88</v>
      </c>
      <c r="B14" s="8" t="s">
        <v>197</v>
      </c>
      <c r="C14" s="8" t="s">
        <v>207</v>
      </c>
    </row>
    <row r="15" customFormat="false" ht="64.5" hidden="false" customHeight="true" outlineLevel="0" collapsed="false">
      <c r="A15" s="7" t="s">
        <v>88</v>
      </c>
      <c r="B15" s="8" t="s">
        <v>199</v>
      </c>
      <c r="C15" s="8" t="s">
        <v>208</v>
      </c>
    </row>
    <row r="16" customFormat="false" ht="64.5" hidden="false" customHeight="true" outlineLevel="0" collapsed="false">
      <c r="A16" s="7" t="s">
        <v>126</v>
      </c>
      <c r="B16" s="8" t="s">
        <v>193</v>
      </c>
      <c r="C16" s="8" t="s">
        <v>209</v>
      </c>
    </row>
    <row r="17" customFormat="false" ht="64.5" hidden="false" customHeight="true" outlineLevel="0" collapsed="false">
      <c r="A17" s="7" t="s">
        <v>126</v>
      </c>
      <c r="B17" s="8" t="s">
        <v>195</v>
      </c>
      <c r="C17" s="8" t="s">
        <v>210</v>
      </c>
    </row>
    <row r="18" customFormat="false" ht="64.5" hidden="false" customHeight="true" outlineLevel="0" collapsed="false">
      <c r="A18" s="7" t="s">
        <v>126</v>
      </c>
      <c r="B18" s="8" t="s">
        <v>197</v>
      </c>
      <c r="C18" s="8" t="s">
        <v>211</v>
      </c>
    </row>
    <row r="19" customFormat="false" ht="64.5" hidden="false" customHeight="true" outlineLevel="0" collapsed="false">
      <c r="A19" s="7" t="s">
        <v>126</v>
      </c>
      <c r="B19" s="8" t="s">
        <v>199</v>
      </c>
      <c r="C19" s="8" t="s">
        <v>212</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5A64"/>
    <pageSetUpPr fitToPage="false"/>
  </sheetPr>
  <dimension ref="A1:A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00"/>
  </cols>
  <sheetData>
    <row r="1" customFormat="false" ht="17.35" hidden="false" customHeight="false" outlineLevel="0" collapsed="false">
      <c r="A1" s="16" t="s">
        <v>0</v>
      </c>
    </row>
    <row r="2" customFormat="false" ht="15" hidden="false" customHeight="false" outlineLevel="0" collapsed="false">
      <c r="A2" s="17" t="s">
        <v>213</v>
      </c>
    </row>
    <row r="3" customFormat="false" ht="15" hidden="false" customHeight="false" outlineLevel="0" collapsed="false">
      <c r="A3" s="18"/>
    </row>
    <row r="4" customFormat="false" ht="15" hidden="false" customHeight="false" outlineLevel="0" collapsed="false">
      <c r="A4" s="19" t="s">
        <v>214</v>
      </c>
    </row>
    <row r="5" customFormat="false" ht="35.05" hidden="false" customHeight="false" outlineLevel="0" collapsed="false">
      <c r="A5" s="18" t="s">
        <v>215</v>
      </c>
    </row>
    <row r="6" customFormat="false" ht="15" hidden="false" customHeight="false" outlineLevel="0" collapsed="false">
      <c r="A6" s="18"/>
    </row>
    <row r="7" customFormat="false" ht="15" hidden="false" customHeight="false" outlineLevel="0" collapsed="false">
      <c r="A7" s="19" t="s">
        <v>216</v>
      </c>
    </row>
    <row r="8" customFormat="false" ht="15" hidden="false" customHeight="false" outlineLevel="0" collapsed="false">
      <c r="A8" s="18" t="s">
        <v>217</v>
      </c>
    </row>
    <row r="9" customFormat="false" ht="15" hidden="false" customHeight="false" outlineLevel="0" collapsed="false">
      <c r="A9" s="18" t="s">
        <v>218</v>
      </c>
    </row>
    <row r="10" customFormat="false" ht="15" hidden="false" customHeight="false" outlineLevel="0" collapsed="false">
      <c r="A10" s="18" t="s">
        <v>219</v>
      </c>
    </row>
    <row r="11" customFormat="false" ht="15" hidden="false" customHeight="false" outlineLevel="0" collapsed="false">
      <c r="A11" s="18" t="s">
        <v>220</v>
      </c>
    </row>
    <row r="12" customFormat="false" ht="15" hidden="false" customHeight="false" outlineLevel="0" collapsed="false">
      <c r="A12" s="18"/>
    </row>
    <row r="13" customFormat="false" ht="15" hidden="false" customHeight="false" outlineLevel="0" collapsed="false">
      <c r="A13" s="19" t="s">
        <v>221</v>
      </c>
    </row>
    <row r="14" customFormat="false" ht="15" hidden="false" customHeight="false" outlineLevel="0" collapsed="false">
      <c r="A14" s="18" t="s">
        <v>222</v>
      </c>
    </row>
    <row r="15" customFormat="false" ht="15" hidden="false" customHeight="false" outlineLevel="0" collapsed="false">
      <c r="A15" s="18" t="s">
        <v>223</v>
      </c>
    </row>
    <row r="16" customFormat="false" ht="15" hidden="false" customHeight="false" outlineLevel="0" collapsed="false">
      <c r="A16" s="18" t="s">
        <v>224</v>
      </c>
    </row>
    <row r="17" customFormat="false" ht="15" hidden="false" customHeight="false" outlineLevel="0" collapsed="false">
      <c r="A17" s="18" t="s">
        <v>225</v>
      </c>
    </row>
    <row r="18" customFormat="false" ht="15" hidden="false" customHeight="false" outlineLevel="0" collapsed="false">
      <c r="A18" s="18"/>
    </row>
    <row r="19" customFormat="false" ht="15" hidden="false" customHeight="false" outlineLevel="0" collapsed="false">
      <c r="A19" s="19" t="s">
        <v>179</v>
      </c>
    </row>
    <row r="20" customFormat="false" ht="15" hidden="false" customHeight="false" outlineLevel="0" collapsed="false">
      <c r="A20" s="18" t="s">
        <v>226</v>
      </c>
    </row>
    <row r="21" customFormat="false" ht="15" hidden="false" customHeight="false" outlineLevel="0" collapsed="false">
      <c r="A21" s="18" t="s">
        <v>227</v>
      </c>
    </row>
    <row r="22" customFormat="false" ht="15" hidden="false" customHeight="false" outlineLevel="0" collapsed="false">
      <c r="A22" s="18" t="s">
        <v>228</v>
      </c>
    </row>
    <row r="23" customFormat="false" ht="15" hidden="false" customHeight="false" outlineLevel="0" collapsed="false">
      <c r="A23" s="18" t="s">
        <v>229</v>
      </c>
    </row>
    <row r="24" customFormat="false" ht="15" hidden="false" customHeight="false" outlineLevel="0" collapsed="false">
      <c r="A24" s="18" t="s">
        <v>230</v>
      </c>
    </row>
    <row r="25" customFormat="false" ht="15" hidden="false" customHeight="false" outlineLevel="0" collapsed="false">
      <c r="A25" s="18"/>
    </row>
    <row r="26" customFormat="false" ht="15" hidden="false" customHeight="false" outlineLevel="0" collapsed="false">
      <c r="A26" s="19" t="s">
        <v>231</v>
      </c>
    </row>
    <row r="27" customFormat="false" ht="15" hidden="false" customHeight="false" outlineLevel="0" collapsed="false">
      <c r="A27" s="18" t="s">
        <v>232</v>
      </c>
    </row>
    <row r="28" customFormat="false" ht="15" hidden="false" customHeight="false" outlineLevel="0" collapsed="false">
      <c r="A28" s="18" t="s">
        <v>233</v>
      </c>
    </row>
    <row r="29" customFormat="false" ht="15" hidden="false" customHeight="false" outlineLevel="0" collapsed="false">
      <c r="A29" s="18" t="s">
        <v>234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2026-02-10T18:05:44Z</dcterms:created>
  <dc:creator>openpyxl</dc:creator>
  <dc:description/>
  <dc:language>en-US</dc:language>
  <cp:lastModifiedBy/>
  <dcterms:modified xsi:type="dcterms:W3CDTF">2026-02-10T18:05:44Z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