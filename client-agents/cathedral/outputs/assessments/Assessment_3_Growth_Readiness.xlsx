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 sheetId="1" state="visible" r:id="rId3"/>
    <sheet name="Scoring Engine" sheetId="2" state="visible" r:id="rId4"/>
    <sheet name="SWOT Narratives" sheetId="3" state="visible" r:id="rId5"/>
    <sheet name="Instruc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<sst xmlns="http://schemas.openxmlformats.org/spreadsheetml/2006/main" count="329" uniqueCount="239">
  <si>
    <t xml:space="preserve">CATHEDRAL CENTER — GROWTH READINESS ASSESSMENT</t>
  </si>
  <si>
    <t xml:space="preserve">Tier 2 Self-Assessment | Measures Current Growth Capability vs. Growth Aspiration Across 5 Dimensions</t>
  </si>
  <si>
    <t xml:space="preserve">Response Scale: 1 = Not at all like our firm  |  2 = Not much like our firm  |  3 = Somewhat like our firm  |  4 = Mostly like our firm  |  5 = Exactly like our firm</t>
  </si>
  <si>
    <t xml:space="preserve">#</t>
  </si>
  <si>
    <t xml:space="preserve">Growth Dimension</t>
  </si>
  <si>
    <t xml:space="preserve">Code</t>
  </si>
  <si>
    <t xml:space="preserve">Assessment Statement</t>
  </si>
  <si>
    <t xml:space="preserve">Context &amp; Guidance</t>
  </si>
  <si>
    <t xml:space="preserve">Current State
(1-5)</t>
  </si>
  <si>
    <t xml:space="preserve">Growth Target
(1-5)</t>
  </si>
  <si>
    <t xml:space="preserve">Growth Gap</t>
  </si>
  <si>
    <t xml:space="preserve">  ORGANIC GROWTH ENGINE</t>
  </si>
  <si>
    <t xml:space="preserve">Organic Growth Engine</t>
  </si>
  <si>
    <t xml:space="preserve">OG-01</t>
  </si>
  <si>
    <t xml:space="preserve">Our firm has a clearly defined and documented client acquisition strategy that generates a consistent pipeline of qualified prospective clients aligned with our ideal client profile.</t>
  </si>
  <si>
    <t xml:space="preserve">Documented acquisition strategy transforms reactive referral dependency into proactive pipeline management. Firms with systematic acquisition processes grow more predictably and efficiently.</t>
  </si>
  <si>
    <t xml:space="preserve">OG-02</t>
  </si>
  <si>
    <t xml:space="preserve">We maintain an active center-of-influence network with CPAs, attorneys, and other professionals who regularly provide qualified referrals based on genuine understanding of our value proposition.</t>
  </si>
  <si>
    <t xml:space="preserve">COI networks represent one of the most cost-effective client acquisition channels. The quality and consistency of these relationships directly correlate with organic growth trajectory.</t>
  </si>
  <si>
    <t xml:space="preserve">OG-03</t>
  </si>
  <si>
    <t xml:space="preserve">Our firm has measurable client retention metrics above 95% annually, and we actively invest in relationship deepening strategies to grow revenue from existing clients.</t>
  </si>
  <si>
    <t xml:space="preserve">Client retention is the foundation of organic growth. Firms that lose clients faster than they acquire them face a mathematical growth barrier regardless of acquisition effort.</t>
  </si>
  <si>
    <t xml:space="preserve">OG-04</t>
  </si>
  <si>
    <t xml:space="preserve">We have a structured client review and upsell process that identifies opportunities to expand services, deepen planning engagement, and increase household wallet share within existing relationships.</t>
  </si>
  <si>
    <t xml:space="preserve">Revenue expansion within existing clients is the most efficient growth pathway. Structured deepening processes convert service conversations into revenue growth without acquisition costs.</t>
  </si>
  <si>
    <t xml:space="preserve">OG-05</t>
  </si>
  <si>
    <t xml:space="preserve">Our firm actively cultivates a client referral culture where satisfied clients proactively introduce prospective clients, and we have systems to encourage, track, and recognize these referrals.</t>
  </si>
  <si>
    <t xml:space="preserve">Client referrals represent the highest-converting, lowest-cost acquisition channel. Firms that systematize referral generation create compounding growth from their existing client base.</t>
  </si>
  <si>
    <t xml:space="preserve">OG-06</t>
  </si>
  <si>
    <t xml:space="preserve">We have defined minimum engagement criteria for new clients — including minimum asset levels, planning complexity, and service expectations — that ensure new relationships are profitable from inception.</t>
  </si>
  <si>
    <t xml:space="preserve">Disciplined client selection protects profitability during growth. Firms that accept any client regardless of fit dilute advisor capacity and reduce overall service quality.</t>
  </si>
  <si>
    <t xml:space="preserve">OG-07</t>
  </si>
  <si>
    <t xml:space="preserve">Our firm measures client satisfaction through structured feedback mechanisms such as surveys, Net Promoter Score tracking, or formal review conversations at least annually.</t>
  </si>
  <si>
    <t xml:space="preserve">Client satisfaction measurement provides early warning of retention risk and identifies improvement opportunities. Firms that measure satisfaction grow faster because they address issues before they become departures.</t>
  </si>
  <si>
    <t xml:space="preserve">OG-08</t>
  </si>
  <si>
    <t xml:space="preserve">We have a clearly defined ideal client profile that guides all acquisition efforts, including demographic characteristics, asset range, planning needs, and behavioral attributes.</t>
  </si>
  <si>
    <t xml:space="preserve">Ideal client clarity focuses resources on the highest-value acquisition targets. Without a defined profile, marketing and business development efforts scatter across unprofitable segments.</t>
  </si>
  <si>
    <t xml:space="preserve">OG-09</t>
  </si>
  <si>
    <t xml:space="preserve">Our firm invests in thought leadership activities — such as speaking engagements, published content, community education, or media presence — that establish our expertise and attract prospective clients.</t>
  </si>
  <si>
    <t xml:space="preserve">Thought leadership creates inbound attraction that complements outbound acquisition. Advisors recognized as experts in their market attract higher-quality, more-engaged prospects.</t>
  </si>
  <si>
    <t xml:space="preserve">OG-10</t>
  </si>
  <si>
    <t xml:space="preserve">We track organic growth metrics rigorously, including new client count, net new assets, revenue per client growth, and pipeline conversion rates, and we use this data to refine our growth strategy.</t>
  </si>
  <si>
    <t xml:space="preserve">Growth measurement enables growth management. Firms that track leading and lagging growth indicators can diagnose growth issues early and allocate resources to highest-impact activities.</t>
  </si>
  <si>
    <t xml:space="preserve">  INORGANIC GROWTH CAPABILITY</t>
  </si>
  <si>
    <t xml:space="preserve">Inorganic Growth Capability</t>
  </si>
  <si>
    <t xml:space="preserve">IG-01</t>
  </si>
  <si>
    <t xml:space="preserve">Our firm has clearly defined its appetite and criteria for acquisitions, including target firm size, geographic focus, service compatibility, and cultural alignment requirements.</t>
  </si>
  <si>
    <t xml:space="preserve">Clear acquisition criteria enable efficient deal sourcing and evaluation. Without defined parameters, firms waste time evaluating incompatible opportunities or miss attractive targets.</t>
  </si>
  <si>
    <t xml:space="preserve">IG-02</t>
  </si>
  <si>
    <t xml:space="preserve">We have financial capacity — through available capital, financing relationships, or equity recapitalization — to fund acquisition transactions without compromising ongoing business operations.</t>
  </si>
  <si>
    <t xml:space="preserve">Financial capacity for acquisitions separates aspirational acquirers from capable ones. Firms that have pre-arranged financing or capital reserves can move quickly when opportunities arise.</t>
  </si>
  <si>
    <t xml:space="preserve">IG-03</t>
  </si>
  <si>
    <t xml:space="preserve">Our firm has experience or access to experienced advisors who can guide M&amp;A due diligence, valuation analysis, deal structuring, and post-closing integration processes.</t>
  </si>
  <si>
    <t xml:space="preserve">M&amp;A expertise prevents costly mistakes. First-time acquirers who lack experienced counsel frequently overpay, underestimate integration costs, or miss critical due diligence findings.</t>
  </si>
  <si>
    <t xml:space="preserve">IG-04</t>
  </si>
  <si>
    <t xml:space="preserve">We have a proven operational integration playbook — including technology migration, client communication, team onboarding, and compliance harmonization — that can be applied to future acquisitions.</t>
  </si>
  <si>
    <t xml:space="preserve">Integration capability determines whether acquisition value is realized or destroyed. Firms with repeatable integration processes achieve faster synergy realization and better client retention.</t>
  </si>
  <si>
    <t xml:space="preserve">IG-05</t>
  </si>
  <si>
    <t xml:space="preserve">Our firm maintains an active deal pipeline by systematically cultivating relationships with potential acquisition targets, industry intermediaries, and custodial referral programs.</t>
  </si>
  <si>
    <t xml:space="preserve">Pipeline development creates acquisition optionality. Firms that cultivate relationships before they need to transact negotiate from a position of choice rather than urgency.</t>
  </si>
  <si>
    <t xml:space="preserve">IG-06</t>
  </si>
  <si>
    <t xml:space="preserve">We have the management capacity and bench strength to absorb acquired teams, clients, and operations without material disruption to our existing practice or service quality.</t>
  </si>
  <si>
    <t xml:space="preserve">Absorption capacity determines realistic acquisition pace. Firms that overextend management capacity through acquisitions risk degrading service quality across the entire combined entity.</t>
  </si>
  <si>
    <t xml:space="preserve">IG-07</t>
  </si>
  <si>
    <t xml:space="preserve">Our technology platform and operational infrastructure can scale to accommodate significant growth from acquisitions without requiring complete system overhauls or major capital investment.</t>
  </si>
  <si>
    <t xml:space="preserve">Scalable infrastructure enables efficient acquisition integration. Firms whose systems cannot accommodate growth face compounding technology and operational costs with each acquisition.</t>
  </si>
  <si>
    <t xml:space="preserve">IG-08</t>
  </si>
  <si>
    <t xml:space="preserve">We have established cultural assessment and compatibility evaluation processes that inform acquisition decisions beyond financial metrics, reducing the risk of culture clash post-closing.</t>
  </si>
  <si>
    <t xml:space="preserve">Cultural due diligence prevents the most common cause of acquisition failure. Firms that evaluate cultural compatibility with the same rigor as financial metrics achieve better long-term outcomes.</t>
  </si>
  <si>
    <t xml:space="preserve">IG-09</t>
  </si>
  <si>
    <t xml:space="preserve">Our firm has a clear understanding of current market valuations, deal structures, and competitive dynamics in the advisory firm acquisition landscape.</t>
  </si>
  <si>
    <t xml:space="preserve">Market intelligence enables informed deal-making. Firms that understand current valuation trends, competitive buyer landscape, and deal structure norms negotiate better terms.</t>
  </si>
  <si>
    <t xml:space="preserve">IG-10</t>
  </si>
  <si>
    <t xml:space="preserve">We have post-acquisition performance measurement systems that track integration progress, client retention, revenue synergies, and team satisfaction to ensure acquired value is preserved.</t>
  </si>
  <si>
    <t xml:space="preserve">Integration measurement ensures accountability. Without performance tracking, firms cannot objectively assess whether acquisitions are delivering expected returns on investment.</t>
  </si>
  <si>
    <t xml:space="preserve">  SCALABILITY &amp; CAPACITY</t>
  </si>
  <si>
    <t xml:space="preserve">Scalability &amp; Capacity</t>
  </si>
  <si>
    <t xml:space="preserve">SC-01</t>
  </si>
  <si>
    <t xml:space="preserve">Our firm's service delivery model is designed to scale — meaning we can serve significantly more clients at current quality levels without proportional increases in headcount or cost.</t>
  </si>
  <si>
    <t xml:space="preserve">Scalable service models create leverage. Firms where each new client requires equivalent new capacity face linear cost growth that limits profitability at scale.</t>
  </si>
  <si>
    <t xml:space="preserve">SC-02</t>
  </si>
  <si>
    <t xml:space="preserve">We have identified and addressed the key operational bottlenecks that currently limit our growth capacity, and we have plans to expand throughput in constraining areas.</t>
  </si>
  <si>
    <t xml:space="preserve">Bottleneck awareness prevents growth plateau. Firms that grow into unaddressed constraints experience service quality degradation that damages client relationships and advisor morale.</t>
  </si>
  <si>
    <t xml:space="preserve">SC-03</t>
  </si>
  <si>
    <t xml:space="preserve">Our technology systems are cloud-based, scalable, and configured to support substantially more users, data volume, and transaction throughput than we currently require.</t>
  </si>
  <si>
    <t xml:space="preserve">Technology headroom enables growth without disruption. Firms that hit technology limits during growth face expensive, disruptive migration projects at the worst possible time.</t>
  </si>
  <si>
    <t xml:space="preserve">SC-04</t>
  </si>
  <si>
    <t xml:space="preserve">We have a talent acquisition pipeline and onboarding capability that allows us to recruit, hire, and develop qualified advisors and support staff in alignment with our growth trajectory.</t>
  </si>
  <si>
    <t xml:space="preserve">Talent pipeline determines human capital growth capacity. Firms that cannot attract and develop quality professionals hit growth ceilings regardless of market opportunity.</t>
  </si>
  <si>
    <t xml:space="preserve">SC-05</t>
  </si>
  <si>
    <t xml:space="preserve">Our compliance infrastructure can accommodate growth in client count, advisor headcount, and geographic expansion without requiring fundamental regulatory restructuring.</t>
  </si>
  <si>
    <t xml:space="preserve">Compliance scalability prevents regulatory growth barriers. Firms that outgrow their compliance infrastructure face costly restructuring or geographic limitations that constrain expansion.</t>
  </si>
  <si>
    <t xml:space="preserve">SC-06</t>
  </si>
  <si>
    <t xml:space="preserve">We have established standardized processes and templates that maintain consistent service quality as our team expands, reducing dependency on any single individual's expertise or judgment.</t>
  </si>
  <si>
    <t xml:space="preserve">Process standardization enables quality at scale. Firms where service quality depends on individual brilliance rather than systematic processes face quality variance as they grow.</t>
  </si>
  <si>
    <t xml:space="preserve">SC-07</t>
  </si>
  <si>
    <t xml:space="preserve">Our physical and virtual office infrastructure can support significant team growth — including workspace, equipment, communication systems, and collaboration tools.</t>
  </si>
  <si>
    <t xml:space="preserve">Infrastructure capacity planning prevents operational friction during growth. Firms that address workspace and tools proactively maintain team productivity through expansion.</t>
  </si>
  <si>
    <t xml:space="preserve">SC-08</t>
  </si>
  <si>
    <t xml:space="preserve">We have financial modeling and forecasting capabilities that allow us to project the impact of growth scenarios on profitability, cash flow, and resource requirements.</t>
  </si>
  <si>
    <t xml:space="preserve">Growth modeling enables informed resource allocation. Firms that can project growth economics make better decisions about when, where, and how much to invest in expansion.</t>
  </si>
  <si>
    <t xml:space="preserve">SC-09</t>
  </si>
  <si>
    <t xml:space="preserve">Our leadership team has the bandwidth and capability to manage a significantly larger organization — including more direct reports, broader geographic footprint, and greater operational complexity.</t>
  </si>
  <si>
    <t xml:space="preserve">Leadership capacity is often the binding constraint on growth. Firms where leaders are already at capacity face organizational effectiveness decline as growth demands increase.</t>
  </si>
  <si>
    <t xml:space="preserve">SC-10</t>
  </si>
  <si>
    <t xml:space="preserve">We have established partnerships with outsourcing providers, technology vendors, and service partners that can flex to support varying levels of growth demand.</t>
  </si>
  <si>
    <t xml:space="preserve">Flexible partner capacity provides growth elasticity. Firms with scalable partner relationships can expand capacity quickly without the fixed costs of permanent infrastructure.</t>
  </si>
  <si>
    <t xml:space="preserve">  DIGITAL &amp; MARKETING READINESS</t>
  </si>
  <si>
    <t xml:space="preserve">Digital &amp; Marketing Readiness</t>
  </si>
  <si>
    <t xml:space="preserve">DM-01</t>
  </si>
  <si>
    <t xml:space="preserve">Our firm maintains a professional, up-to-date website that clearly communicates our value proposition, showcases our expertise, and provides prospective clients with a clear path to engagement.</t>
  </si>
  <si>
    <t xml:space="preserve">Website quality is the digital first impression. Prospective clients who find outdated or unclear websites frequently disengage before ever making contact, representing invisible lost opportunity.</t>
  </si>
  <si>
    <t xml:space="preserve">DM-02</t>
  </si>
  <si>
    <t xml:space="preserve">We actively create and distribute original content — such as blog posts, market commentary, educational articles, or newsletters — that demonstrates our expertise and keeps our firm visible to prospects.</t>
  </si>
  <si>
    <t xml:space="preserve">Content creation establishes expertise and maintains visibility. Firms with consistent content programs generate more inbound interest and build stronger credibility with prospective clients.</t>
  </si>
  <si>
    <t xml:space="preserve">DM-03</t>
  </si>
  <si>
    <t xml:space="preserve">Our firm has an active and professional presence on relevant social media platforms where our target clients spend time, and we engage authentically rather than simply broadcasting.</t>
  </si>
  <si>
    <t xml:space="preserve">Social media presence extends reach and builds familiarity. Firms that engage authentically on social platforms create awareness and trust that traditional marketing cannot replicate.</t>
  </si>
  <si>
    <t xml:space="preserve">DM-04</t>
  </si>
  <si>
    <t xml:space="preserve">We leverage digital marketing tools including email automation, CRM-driven workflows, and targeted outreach campaigns that nurture prospective clients through the engagement journey.</t>
  </si>
  <si>
    <t xml:space="preserve">Marketing automation enables scalable, personalized prospect nurturing. Firms that automate routine marketing touches maintain prospect engagement without consuming advisor time.</t>
  </si>
  <si>
    <t xml:space="preserve">DM-05</t>
  </si>
  <si>
    <t xml:space="preserve">Our firm tracks digital marketing performance metrics — including website traffic, content engagement, lead generation, and conversion rates — to optimize marketing investment and effectiveness.</t>
  </si>
  <si>
    <t xml:space="preserve">Marketing measurement enables marketing optimization. Firms that track digital performance can allocate marketing budget to highest-returning channels and eliminate unproductive spending.</t>
  </si>
  <si>
    <t xml:space="preserve">DM-06</t>
  </si>
  <si>
    <t xml:space="preserve">We maintain a consistent brand identity across all digital and physical touchpoints — including website, social media, email communications, office environment, and client materials.</t>
  </si>
  <si>
    <t xml:space="preserve">Brand consistency builds professional credibility and recognition. Inconsistent branding creates confusion and undermines the trust that consistent professional presence builds over time.</t>
  </si>
  <si>
    <t xml:space="preserve">DM-07</t>
  </si>
  <si>
    <t xml:space="preserve">Our firm has invested in search engine optimization (SEO) and local digital visibility strategies that ensure prospective clients in our target market can find us when searching for advisory services.</t>
  </si>
  <si>
    <t xml:space="preserve">Search visibility captures active demand. Prospective clients who search for advisory services and cannot find your firm choose competitors by default.</t>
  </si>
  <si>
    <t xml:space="preserve">DM-08</t>
  </si>
  <si>
    <t xml:space="preserve">We provide prospective clients with a compelling digital experience — including an informative website, accessible educational resources, and easy scheduling — that encourages them to take the next step.</t>
  </si>
  <si>
    <t xml:space="preserve">Digital prospect experience determines conversion rate. Firms with frictionless digital engagement convert more website visitors into client conversations.</t>
  </si>
  <si>
    <t xml:space="preserve">DM-09</t>
  </si>
  <si>
    <t xml:space="preserve">Our firm has a defined marketing budget, calendar, and execution plan that ensures consistent marketing activity rather than sporadic campaigns driven by immediate need.</t>
  </si>
  <si>
    <t xml:space="preserve">Marketing discipline enables marketing effectiveness. Firms that market consistently build compound awareness; firms that market sporadically waste resources on restart costs.</t>
  </si>
  <si>
    <t xml:space="preserve">DM-10</t>
  </si>
  <si>
    <t xml:space="preserve">We leverage client testimonials, case studies, or success stories (within compliance guidelines) to demonstrate real-world impact and build credibility with prospective clients.</t>
  </si>
  <si>
    <t xml:space="preserve">Social proof accelerates trust-building. Prospective clients who see evidence of real client outcomes develop confidence faster than those who rely solely on firm claims.</t>
  </si>
  <si>
    <t xml:space="preserve">  STRATEGIC GROWTH VISION</t>
  </si>
  <si>
    <t xml:space="preserve">Strategic Growth Vision</t>
  </si>
  <si>
    <t xml:space="preserve">GV-01</t>
  </si>
  <si>
    <t xml:space="preserve">Our firm has a clearly articulated 3-5 year growth vision with specific revenue, client count, and AUM targets that are known and supported by the entire leadership team.</t>
  </si>
  <si>
    <t xml:space="preserve">Shared growth vision aligns effort and resource allocation. Firms where leaders disagree on growth targets or ambition level waste energy on internal alignment rather than external execution.</t>
  </si>
  <si>
    <t xml:space="preserve">GV-02</t>
  </si>
  <si>
    <t xml:space="preserve">We have identified specific market segments, service niches, or geographic territories where we believe our firm has the strongest growth opportunity and competitive advantage.</t>
  </si>
  <si>
    <t xml:space="preserve">Market focus concentrates growth effort on highest-probability opportunities. Firms that try to grow everywhere grow nowhere effectively.</t>
  </si>
  <si>
    <t xml:space="preserve">GV-03</t>
  </si>
  <si>
    <t xml:space="preserve">Our firm has a clear strategy for balancing organic growth (new client acquisition) with inorganic growth (acquisitions and partnerships) based on our capabilities and market conditions.</t>
  </si>
  <si>
    <t xml:space="preserve">Growth pathway balance reflects strategic sophistication. Firms that rely exclusively on one growth method miss opportunities and are vulnerable to channel-specific disruptions.</t>
  </si>
  <si>
    <t xml:space="preserve">GV-04</t>
  </si>
  <si>
    <t xml:space="preserve">We regularly evaluate our competitive positioning — including strengths, weaknesses, and differentiators — relative to other advisory firms in our market and use this intelligence to refine our growth strategy.</t>
  </si>
  <si>
    <t xml:space="preserve">Competitive awareness sharpens growth strategy. Firms that understand their competitive landscape make better decisions about where to invest growth resources.</t>
  </si>
  <si>
    <t xml:space="preserve">GV-05</t>
  </si>
  <si>
    <t xml:space="preserve">Our firm's compensation and incentive structure is designed to attract growth-oriented talent and reward behaviors that drive sustainable revenue growth and client acquisition.</t>
  </si>
  <si>
    <t xml:space="preserve">Growth-aligned compensation attracts and motivates growth talent. Firms that reward only service delivery rather than growth activity struggle to develop business development capability.</t>
  </si>
  <si>
    <t xml:space="preserve">GV-06</t>
  </si>
  <si>
    <t xml:space="preserve">We have established strategic partnerships or alliances — such as custodial relationships, technology partnerships, or professional networks — that create competitive advantages and growth enablers.</t>
  </si>
  <si>
    <t xml:space="preserve">Strategic partnerships multiply growth capability. Firms that leverage partnership ecosystems access resources, referrals, and capabilities that would be expensive to build independently.</t>
  </si>
  <si>
    <t xml:space="preserve">GV-07</t>
  </si>
  <si>
    <t xml:space="preserve">Our firm evaluates new service offerings, client segments, or revenue models on a regular basis to ensure we are capturing evolving market opportunities and client needs.</t>
  </si>
  <si>
    <t xml:space="preserve">Service innovation maintains competitive relevance. Firms that rely on static service models face gradual market share erosion as client expectations and competitive offerings evolve.</t>
  </si>
  <si>
    <t xml:space="preserve">GV-08</t>
  </si>
  <si>
    <t xml:space="preserve">We have a clear understanding of the client experience from first contact through onboarding to ongoing service, and we continuously refine this journey to maximize client satisfaction and referral generation.</t>
  </si>
  <si>
    <t xml:space="preserve">Client experience optimization drives retention and referral growth simultaneously. Firms that invest in journey mapping and continuous improvement create compounding growth advantages.</t>
  </si>
  <si>
    <t xml:space="preserve">GV-09</t>
  </si>
  <si>
    <t xml:space="preserve">Our firm actively invests in innovation — whether through new technology adoption, service model evolution, or process improvement — as a growth strategy rather than just a cost management tool.</t>
  </si>
  <si>
    <t xml:space="preserve">Innovation as growth strategy creates differentiation. Firms that innovate proactively attract forward-thinking clients and talent that fuel continued growth momentum.</t>
  </si>
  <si>
    <t xml:space="preserve">GV-10</t>
  </si>
  <si>
    <t xml:space="preserve">We have established a growth accountability framework where specific team members own growth metrics, report progress regularly, and are empowered to make decisions that advance growth objectives.</t>
  </si>
  <si>
    <t xml:space="preserve">Growth accountability converts aspiration into execution. Without clear ownership and regular reporting, growth initiatives drift and resources are consumed by operational demands.</t>
  </si>
  <si>
    <t xml:space="preserve">SCORING ENGINE — GROWTH READINESS</t>
  </si>
  <si>
    <t xml:space="preserve">Avg Current State</t>
  </si>
  <si>
    <t xml:space="preserve">Avg Growth Target</t>
  </si>
  <si>
    <t xml:space="preserve">Avg Growth Gap</t>
  </si>
  <si>
    <t xml:space="preserve">Growth Alignment %</t>
  </si>
  <si>
    <t xml:space="preserve">Readiness Score (0-100)</t>
  </si>
  <si>
    <t xml:space="preserve">SWOT Classification</t>
  </si>
  <si>
    <t xml:space="preserve">OVERALL GROWTH READINESS SCORES</t>
  </si>
  <si>
    <t xml:space="preserve">Overall Growth Readiness Score</t>
  </si>
  <si>
    <t xml:space="preserve">Overall Growth Gap</t>
  </si>
  <si>
    <t xml:space="preserve">Overall Growth Alignment %</t>
  </si>
  <si>
    <t xml:space="preserve">Total Questions Answered</t>
  </si>
  <si>
    <t xml:space="preserve">Strengths Count</t>
  </si>
  <si>
    <t xml:space="preserve">Opportunities Count</t>
  </si>
  <si>
    <t xml:space="preserve">Threats Count</t>
  </si>
  <si>
    <t xml:space="preserve">Weaknesses Count</t>
  </si>
  <si>
    <t xml:space="preserve">GROWTH READINESS TIER CLASSIFICATION</t>
  </si>
  <si>
    <t xml:space="preserve">90-100: Growth Accelerator</t>
  </si>
  <si>
    <t xml:space="preserve">Firm is positioned for aggressive, confident growth execution</t>
  </si>
  <si>
    <t xml:space="preserve">75-89: Growth Ready</t>
  </si>
  <si>
    <t xml:space="preserve">Strong growth foundations with targeted capability gaps to address</t>
  </si>
  <si>
    <t xml:space="preserve">60-74: Growth Building</t>
  </si>
  <si>
    <t xml:space="preserve">Active growth capability development with meaningful areas of investment needed</t>
  </si>
  <si>
    <t xml:space="preserve">40-59: Growth Emerging</t>
  </si>
  <si>
    <t xml:space="preserve">Early-stage growth infrastructure requiring significant development</t>
  </si>
  <si>
    <t xml:space="preserve">Below 40: Pre-Growth</t>
  </si>
  <si>
    <t xml:space="preserve">Foundational growth capabilities need to be established before growth execution</t>
  </si>
  <si>
    <t xml:space="preserve">SWOT NARRATIVE FEEDBACK — GROWTH READINESS</t>
  </si>
  <si>
    <t xml:space="preserve">SWOT Class</t>
  </si>
  <si>
    <t xml:space="preserve">Narrative Feedback</t>
  </si>
  <si>
    <t xml:space="preserve">STRENGTH</t>
  </si>
  <si>
    <t xml:space="preserve">Your organic growth engine is firing on all cylinders. Systematic client acquisition, strong retention metrics, referral culture, and disciplined client selection create a compounding growth machine. Your organic growth infrastructure represents a significant competitive advantage and a strong foundation for sustainable expansion. Continue optimizing conversion rates and deepening client relationships.</t>
  </si>
  <si>
    <t xml:space="preserve">OPPORTUNITY</t>
  </si>
  <si>
    <t xml:space="preserve">Your organic growth foundations are solid with specific areas for enhancement. Core elements like client acquisition strategy, retention management, or referral generation may be strong while others need development. Targeted investment in the weaker organic growth elements could meaningfully accelerate your growth trajectory. Focus on systematizing the elements that currently rely on individual effort.</t>
  </si>
  <si>
    <t xml:space="preserve">THREAT</t>
  </si>
  <si>
    <t xml:space="preserve">Your organic growth capability has meaningful gaps that limit growth potential. Issues like inconsistent client acquisition, weak referral generation, or unclear ideal client definition constrain your ability to grow predictably. We recommend a comprehensive organic growth audit to identify the highest-leverage improvement opportunities.</t>
  </si>
  <si>
    <t xml:space="preserve">WEAKNESS</t>
  </si>
  <si>
    <t xml:space="preserve">Your organic growth infrastructure requires substantial development. Without systematic acquisition processes, client retention strategies, and referral programs, organic growth depends on serendipity rather than strategy. We recommend establishing foundational organic growth systems before investing in other growth initiatives.</t>
  </si>
  <si>
    <t xml:space="preserve">Your inorganic growth capability is excellent. Clear acquisition criteria, financial capacity, integration expertise, and cultural assessment processes position you to execute acquisitions that create genuine value. This M&amp;A readiness represents a significant strategic advantage in the current advisory firm consolidation landscape.</t>
  </si>
  <si>
    <t xml:space="preserve">Your inorganic growth foundations show promising development with specific capability gaps to address. Core elements like financial capacity or acquisition criteria may be strong while integration playbooks or deal pipeline cultivation need development. Targeted M&amp;A capability investment could unlock significant growth acceleration.</t>
  </si>
  <si>
    <t xml:space="preserve">Your inorganic growth capability has meaningful gaps that could lead to costly acquisition mistakes. Issues like limited integration experience, unclear criteria, or insufficient financial capacity create risk in M&amp;A execution. We recommend engaging M&amp;A advisory support and developing integration capability before pursuing acquisitions.</t>
  </si>
  <si>
    <t xml:space="preserve">Your inorganic growth infrastructure requires significant development before acquisitions are advisable. Without clear criteria, financial capacity, integration expertise, and cultural assessment processes, acquisitions risk value destruction rather than creation. We recommend foundational M&amp;A education and capability development.</t>
  </si>
  <si>
    <t xml:space="preserve">Your scalability infrastructure is excellent. Scalable service models, adequate technology capacity, talent pipelines, and leadership bandwidth create the infrastructure for confident growth execution. Your capacity to absorb growth without quality degradation is a significant competitive advantage.</t>
  </si>
  <si>
    <t xml:space="preserve">Your scalability foundations are solid with specific capacity constraints to address. Core infrastructure may support growth while specific bottlenecks — perhaps in talent acquisition, technology capacity, or leadership bandwidth — limit your growth ceiling. Identify and address the binding constraint to unlock the next growth tier.</t>
  </si>
  <si>
    <t xml:space="preserve">Your scalability has meaningful limitations that will constrain growth if not addressed. Bottlenecks in operational capacity, technology infrastructure, talent pipeline, or leadership bandwidth will create growth plateaus or quality degradation. We recommend a comprehensive capacity assessment to identify and prioritize constraint removal.</t>
  </si>
  <si>
    <t xml:space="preserve">Your current infrastructure would struggle to support significant growth. Without scalable processes, adequate technology capacity, talent pipeline, and leadership bandwidth, growth attempts risk quality degradation and team burnout. We recommend stabilizing current operations before pursuing aggressive growth.</t>
  </si>
  <si>
    <t xml:space="preserve">Your digital marketing capability is outstanding. Professional web presence, consistent content creation, active social engagement, and marketing automation create a modern client attraction engine. Your digital marketing maturity represents a significant competitive advantage in an industry where most firms still rely solely on traditional channels.</t>
  </si>
  <si>
    <t xml:space="preserve">Your digital marketing foundations are solid with specific areas for enhancement. Core digital presence may be professional while content consistency, social engagement, or marketing automation need development. Targeted digital investment could significantly expand your reach and lead generation capability.</t>
  </si>
  <si>
    <t xml:space="preserve">Your digital marketing capability has meaningful gaps that limit your visibility and lead generation potential. Issues like outdated web presence, inconsistent content, or absent marketing automation leave growth opportunities on the table. We recommend a digital marketing audit and phased improvement plan.</t>
  </si>
  <si>
    <t xml:space="preserve">Your digital marketing infrastructure requires substantial development. In an increasingly digital client acquisition landscape, limited web presence, absent content strategy, and no marketing automation create a growing competitive disadvantage. We recommend prioritizing foundational digital marketing infrastructure as a growth enabler.</t>
  </si>
  <si>
    <t xml:space="preserve">Your strategic growth vision is well-articulated and actionable. Clear growth targets, focused market strategy, competitive awareness, and growth accountability create the strategic infrastructure for confident execution. Your leadership alignment around growth priorities enables decisive resource allocation and consistent effort.</t>
  </si>
  <si>
    <t xml:space="preserve">Your strategic growth vision shows solid foundations with refinement opportunities. Core elements like growth targets or market focus may be clear while competitive intelligence, growth accountability, or innovation strategy need development. Sharpening your strategic growth framework could meaningfully improve execution effectiveness.</t>
  </si>
  <si>
    <t xml:space="preserve">Your strategic growth vision has meaningful gaps that limit execution effectiveness. Issues like unclear targets, unfocused market strategy, or absent growth accountability create execution drift and resource waste. We recommend a facilitated strategic growth planning session to establish clear priorities and ownership.</t>
  </si>
  <si>
    <t xml:space="preserve">Your strategic growth framework requires substantial development. Without clear vision, focused strategy, competitive awareness, and accountability structures, growth efforts scatter across unfocused initiatives. We strongly recommend establishing foundational growth strategy before investing in growth execution activities.</t>
  </si>
  <si>
    <t xml:space="preserve">Instructions &amp; Methodology Guide</t>
  </si>
  <si>
    <t xml:space="preserve">PURPOSE</t>
  </si>
  <si>
    <t xml:space="preserve">This assessment evaluates your firm's readiness to execute growth strategies — both organic and inorganic — across five critical dimensions. The results identify specific growth capabilities, capacity constraints, and strategic development opportunities that inform your growth planning.</t>
  </si>
  <si>
    <t xml:space="preserve">FIVE GROWTH DIMENSIONS</t>
  </si>
  <si>
    <t xml:space="preserve">1. Organic Growth Engine (10 questions) — Client acquisition, retention, referrals, thought leadership</t>
  </si>
  <si>
    <t xml:space="preserve">2. Inorganic Growth Capability (10 questions) — M&amp;A readiness, criteria, integration, cultural assessment</t>
  </si>
  <si>
    <t xml:space="preserve">3. Scalability &amp; Capacity (10 questions) — Operational scale, technology, talent, leadership bandwidth</t>
  </si>
  <si>
    <t xml:space="preserve">4. Digital &amp; Marketing Readiness (10 questions) — Web presence, content, social, automation, measurement</t>
  </si>
  <si>
    <t xml:space="preserve">5. Strategic Growth Vision (10 questions) — Growth targets, market focus, competitive positioning, accountability</t>
  </si>
  <si>
    <t xml:space="preserve">90-100: Growth Accelerator — Positioned for aggressive growth execution</t>
  </si>
  <si>
    <t xml:space="preserve">75-89: Growth Ready — Strong foundations with targeted gaps</t>
  </si>
  <si>
    <t xml:space="preserve">60-74: Growth Building — Active development with investment needed</t>
  </si>
  <si>
    <t xml:space="preserve">40-59: Growth Emerging — Early-stage infrastructure requiring development</t>
  </si>
  <si>
    <t xml:space="preserve">Below 40: Pre-Growth — Foundational capabilities need to be established</t>
  </si>
</sst>
</file>

<file path=xl/styles.xml><?xml version="1.0" encoding="utf-8"?>
<styleSheet xmlns="http://schemas.openxmlformats.org/spreadsheetml/2006/main">
  <numFmts count="3">
    <numFmt numFmtId="164" formatCode="General"/>
    <numFmt numFmtId="165" formatCode="0.0"/>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4"/>
      <color rgb="FF004D40"/>
      <name val="Arial"/>
      <family val="0"/>
      <charset val="1"/>
    </font>
    <font>
      <i val="true"/>
      <sz val="10"/>
      <color rgb="FF666666"/>
      <name val="Arial"/>
      <family val="0"/>
      <charset val="1"/>
    </font>
    <font>
      <i val="true"/>
      <sz val="9"/>
      <color rgb="FF444444"/>
      <name val="Arial"/>
      <family val="0"/>
      <charset val="1"/>
    </font>
    <font>
      <b val="true"/>
      <sz val="12"/>
      <color rgb="FFFFFFFF"/>
      <name val="Arial"/>
      <family val="0"/>
      <charset val="1"/>
    </font>
    <font>
      <b val="true"/>
      <sz val="11"/>
      <color rgb="FF004D40"/>
      <name val="Arial"/>
      <family val="0"/>
      <charset val="1"/>
    </font>
    <font>
      <sz val="10"/>
      <name val="Arial"/>
      <family val="0"/>
      <charset val="1"/>
    </font>
    <font>
      <b val="true"/>
      <sz val="10"/>
      <name val="Arial"/>
      <family val="0"/>
      <charset val="1"/>
    </font>
    <font>
      <sz val="10"/>
      <color rgb="FF0000FF"/>
      <name val="Arial"/>
      <family val="0"/>
      <charset val="1"/>
    </font>
    <font>
      <i val="true"/>
      <sz val="11"/>
      <color rgb="FF666666"/>
      <name val="Arial"/>
      <family val="0"/>
      <charset val="1"/>
    </font>
    <font>
      <b val="true"/>
      <sz val="12"/>
      <color rgb="FF004D40"/>
      <name val="Arial"/>
      <family val="0"/>
      <charset val="1"/>
    </font>
  </fonts>
  <fills count="7">
    <fill>
      <patternFill patternType="none"/>
    </fill>
    <fill>
      <patternFill patternType="gray125"/>
    </fill>
    <fill>
      <patternFill patternType="solid">
        <fgColor rgb="FF004D40"/>
        <bgColor rgb="FF003300"/>
      </patternFill>
    </fill>
    <fill>
      <patternFill patternType="solid">
        <fgColor rgb="FFE0F2F1"/>
        <bgColor rgb="FFF0FFF0"/>
      </patternFill>
    </fill>
    <fill>
      <patternFill patternType="solid">
        <fgColor rgb="FFF0FFF0"/>
        <bgColor rgb="FFFFFFFF"/>
      </patternFill>
    </fill>
    <fill>
      <patternFill patternType="solid">
        <fgColor rgb="FFFFF3CD"/>
        <bgColor rgb="FFF0FFF0"/>
      </patternFill>
    </fill>
    <fill>
      <patternFill patternType="solid">
        <fgColor rgb="FFB2DFDB"/>
        <bgColor rgb="FFCCCCCC"/>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E0F2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0FFF0"/>
      <rgbColor rgb="FFCCFFCC"/>
      <rgbColor rgb="FFFFFF99"/>
      <rgbColor rgb="FFB2DFDB"/>
      <rgbColor rgb="FFFF99CC"/>
      <rgbColor rgb="FFCC99FF"/>
      <rgbColor rgb="FFFFCC99"/>
      <rgbColor rgb="FF3366FF"/>
      <rgbColor rgb="FF33CCCC"/>
      <rgbColor rgb="FF99CC00"/>
      <rgbColor rgb="FFFFCC00"/>
      <rgbColor rgb="FFFF9900"/>
      <rgbColor rgb="FFE65100"/>
      <rgbColor rgb="FF666666"/>
      <rgbColor rgb="FF969696"/>
      <rgbColor rgb="FF004D40"/>
      <rgbColor rgb="FF2E7D32"/>
      <rgbColor rgb="FF003300"/>
      <rgbColor rgb="FF333300"/>
      <rgbColor rgb="FF993300"/>
      <rgbColor rgb="FF993366"/>
      <rgbColor rgb="FF455A64"/>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4D40"/>
    <pageSetUpPr fitToPage="false"/>
  </sheetPr>
  <dimension ref="A1:H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8"/>
    <col collapsed="false" customWidth="true" hidden="false" outlineLevel="0" max="4" min="4" style="0" width="55"/>
    <col collapsed="false" customWidth="true" hidden="false" outlineLevel="0" max="5" min="5" style="0" width="50"/>
    <col collapsed="false" customWidth="true" hidden="false" outlineLevel="0" max="8" min="6" style="0" width="18"/>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3" customFormat="false" ht="15" hidden="false" customHeight="false" outlineLevel="0" collapsed="false">
      <c r="A3" s="3" t="s">
        <v>2</v>
      </c>
      <c r="B3" s="3"/>
      <c r="C3" s="3"/>
      <c r="D3" s="3"/>
      <c r="E3" s="3"/>
      <c r="F3" s="3"/>
      <c r="G3" s="3"/>
      <c r="H3" s="3"/>
    </row>
    <row r="4" customFormat="false" ht="26.85" hidden="false" customHeight="false" outlineLevel="0" collapsed="false">
      <c r="A4" s="4" t="s">
        <v>3</v>
      </c>
      <c r="B4" s="4" t="s">
        <v>4</v>
      </c>
      <c r="C4" s="4" t="s">
        <v>5</v>
      </c>
      <c r="D4" s="4" t="s">
        <v>6</v>
      </c>
      <c r="E4" s="4" t="s">
        <v>7</v>
      </c>
      <c r="F4" s="4" t="s">
        <v>8</v>
      </c>
      <c r="G4" s="4" t="s">
        <v>9</v>
      </c>
      <c r="H4" s="4" t="s">
        <v>10</v>
      </c>
    </row>
    <row r="5" customFormat="false" ht="24.75" hidden="false" customHeight="true" outlineLevel="0" collapsed="false">
      <c r="A5" s="5" t="s">
        <v>11</v>
      </c>
      <c r="B5" s="5"/>
      <c r="C5" s="5"/>
      <c r="D5" s="5"/>
      <c r="E5" s="5"/>
      <c r="F5" s="5"/>
      <c r="G5" s="5"/>
      <c r="H5" s="5"/>
    </row>
    <row r="6" customFormat="false" ht="79.5" hidden="false" customHeight="true" outlineLevel="0" collapsed="false">
      <c r="A6" s="6" t="n">
        <v>1</v>
      </c>
      <c r="B6" s="7" t="s">
        <v>12</v>
      </c>
      <c r="C6" s="6" t="s">
        <v>13</v>
      </c>
      <c r="D6" s="8" t="s">
        <v>14</v>
      </c>
      <c r="E6" s="8" t="s">
        <v>15</v>
      </c>
      <c r="F6" s="9"/>
      <c r="G6" s="9"/>
      <c r="H6" s="10" t="str">
        <f aca="false">IF(AND(F6&lt;&gt;"",G6&lt;&gt;""),ABS(G6-F6),"")</f>
        <v/>
      </c>
    </row>
    <row r="7" customFormat="false" ht="79.5" hidden="false" customHeight="true" outlineLevel="0" collapsed="false">
      <c r="A7" s="6" t="n">
        <v>2</v>
      </c>
      <c r="B7" s="7" t="s">
        <v>12</v>
      </c>
      <c r="C7" s="6" t="s">
        <v>16</v>
      </c>
      <c r="D7" s="8" t="s">
        <v>17</v>
      </c>
      <c r="E7" s="8" t="s">
        <v>18</v>
      </c>
      <c r="F7" s="9"/>
      <c r="G7" s="9"/>
      <c r="H7" s="10" t="str">
        <f aca="false">IF(AND(F7&lt;&gt;"",G7&lt;&gt;""),ABS(G7-F7),"")</f>
        <v/>
      </c>
    </row>
    <row r="8" customFormat="false" ht="79.5" hidden="false" customHeight="true" outlineLevel="0" collapsed="false">
      <c r="A8" s="6" t="n">
        <v>3</v>
      </c>
      <c r="B8" s="7" t="s">
        <v>12</v>
      </c>
      <c r="C8" s="6" t="s">
        <v>19</v>
      </c>
      <c r="D8" s="8" t="s">
        <v>20</v>
      </c>
      <c r="E8" s="8" t="s">
        <v>21</v>
      </c>
      <c r="F8" s="9"/>
      <c r="G8" s="9"/>
      <c r="H8" s="10" t="str">
        <f aca="false">IF(AND(F8&lt;&gt;"",G8&lt;&gt;""),ABS(G8-F8),"")</f>
        <v/>
      </c>
    </row>
    <row r="9" customFormat="false" ht="79.5" hidden="false" customHeight="true" outlineLevel="0" collapsed="false">
      <c r="A9" s="6" t="n">
        <v>4</v>
      </c>
      <c r="B9" s="7" t="s">
        <v>12</v>
      </c>
      <c r="C9" s="6" t="s">
        <v>22</v>
      </c>
      <c r="D9" s="8" t="s">
        <v>23</v>
      </c>
      <c r="E9" s="8" t="s">
        <v>24</v>
      </c>
      <c r="F9" s="9"/>
      <c r="G9" s="9"/>
      <c r="H9" s="10" t="str">
        <f aca="false">IF(AND(F9&lt;&gt;"",G9&lt;&gt;""),ABS(G9-F9),"")</f>
        <v/>
      </c>
    </row>
    <row r="10" customFormat="false" ht="79.5" hidden="false" customHeight="true" outlineLevel="0" collapsed="false">
      <c r="A10" s="6" t="n">
        <v>5</v>
      </c>
      <c r="B10" s="7" t="s">
        <v>12</v>
      </c>
      <c r="C10" s="6" t="s">
        <v>25</v>
      </c>
      <c r="D10" s="8" t="s">
        <v>26</v>
      </c>
      <c r="E10" s="8" t="s">
        <v>27</v>
      </c>
      <c r="F10" s="9"/>
      <c r="G10" s="9"/>
      <c r="H10" s="10" t="str">
        <f aca="false">IF(AND(F10&lt;&gt;"",G10&lt;&gt;""),ABS(G10-F10),"")</f>
        <v/>
      </c>
    </row>
    <row r="11" customFormat="false" ht="79.5" hidden="false" customHeight="true" outlineLevel="0" collapsed="false">
      <c r="A11" s="6" t="n">
        <v>6</v>
      </c>
      <c r="B11" s="7" t="s">
        <v>12</v>
      </c>
      <c r="C11" s="6" t="s">
        <v>28</v>
      </c>
      <c r="D11" s="8" t="s">
        <v>29</v>
      </c>
      <c r="E11" s="8" t="s">
        <v>30</v>
      </c>
      <c r="F11" s="9"/>
      <c r="G11" s="9"/>
      <c r="H11" s="10" t="str">
        <f aca="false">IF(AND(F11&lt;&gt;"",G11&lt;&gt;""),ABS(G11-F11),"")</f>
        <v/>
      </c>
    </row>
    <row r="12" customFormat="false" ht="79.5" hidden="false" customHeight="true" outlineLevel="0" collapsed="false">
      <c r="A12" s="6" t="n">
        <v>7</v>
      </c>
      <c r="B12" s="7" t="s">
        <v>12</v>
      </c>
      <c r="C12" s="6" t="s">
        <v>31</v>
      </c>
      <c r="D12" s="8" t="s">
        <v>32</v>
      </c>
      <c r="E12" s="8" t="s">
        <v>33</v>
      </c>
      <c r="F12" s="9"/>
      <c r="G12" s="9"/>
      <c r="H12" s="10" t="str">
        <f aca="false">IF(AND(F12&lt;&gt;"",G12&lt;&gt;""),ABS(G12-F12),"")</f>
        <v/>
      </c>
    </row>
    <row r="13" customFormat="false" ht="79.5" hidden="false" customHeight="true" outlineLevel="0" collapsed="false">
      <c r="A13" s="6" t="n">
        <v>8</v>
      </c>
      <c r="B13" s="7" t="s">
        <v>12</v>
      </c>
      <c r="C13" s="6" t="s">
        <v>34</v>
      </c>
      <c r="D13" s="8" t="s">
        <v>35</v>
      </c>
      <c r="E13" s="8" t="s">
        <v>36</v>
      </c>
      <c r="F13" s="9"/>
      <c r="G13" s="9"/>
      <c r="H13" s="10" t="str">
        <f aca="false">IF(AND(F13&lt;&gt;"",G13&lt;&gt;""),ABS(G13-F13),"")</f>
        <v/>
      </c>
    </row>
    <row r="14" customFormat="false" ht="79.5" hidden="false" customHeight="true" outlineLevel="0" collapsed="false">
      <c r="A14" s="6" t="n">
        <v>9</v>
      </c>
      <c r="B14" s="7" t="s">
        <v>12</v>
      </c>
      <c r="C14" s="6" t="s">
        <v>37</v>
      </c>
      <c r="D14" s="8" t="s">
        <v>38</v>
      </c>
      <c r="E14" s="8" t="s">
        <v>39</v>
      </c>
      <c r="F14" s="9"/>
      <c r="G14" s="9"/>
      <c r="H14" s="10" t="str">
        <f aca="false">IF(AND(F14&lt;&gt;"",G14&lt;&gt;""),ABS(G14-F14),"")</f>
        <v/>
      </c>
    </row>
    <row r="15" customFormat="false" ht="79.5" hidden="false" customHeight="true" outlineLevel="0" collapsed="false">
      <c r="A15" s="6" t="n">
        <v>10</v>
      </c>
      <c r="B15" s="7" t="s">
        <v>12</v>
      </c>
      <c r="C15" s="6" t="s">
        <v>40</v>
      </c>
      <c r="D15" s="8" t="s">
        <v>41</v>
      </c>
      <c r="E15" s="8" t="s">
        <v>42</v>
      </c>
      <c r="F15" s="9"/>
      <c r="G15" s="9"/>
      <c r="H15" s="10" t="str">
        <f aca="false">IF(AND(F15&lt;&gt;"",G15&lt;&gt;""),ABS(G15-F15),"")</f>
        <v/>
      </c>
    </row>
    <row r="16" customFormat="false" ht="24.75" hidden="false" customHeight="true" outlineLevel="0" collapsed="false">
      <c r="A16" s="5" t="s">
        <v>43</v>
      </c>
      <c r="B16" s="5"/>
      <c r="C16" s="5"/>
      <c r="D16" s="5"/>
      <c r="E16" s="5"/>
      <c r="F16" s="5"/>
      <c r="G16" s="5"/>
      <c r="H16" s="5"/>
    </row>
    <row r="17" customFormat="false" ht="79.5" hidden="false" customHeight="true" outlineLevel="0" collapsed="false">
      <c r="A17" s="6" t="n">
        <v>11</v>
      </c>
      <c r="B17" s="7" t="s">
        <v>44</v>
      </c>
      <c r="C17" s="6" t="s">
        <v>45</v>
      </c>
      <c r="D17" s="8" t="s">
        <v>46</v>
      </c>
      <c r="E17" s="8" t="s">
        <v>47</v>
      </c>
      <c r="F17" s="9"/>
      <c r="G17" s="9"/>
      <c r="H17" s="10" t="str">
        <f aca="false">IF(AND(F17&lt;&gt;"",G17&lt;&gt;""),ABS(G17-F17),"")</f>
        <v/>
      </c>
    </row>
    <row r="18" customFormat="false" ht="79.5" hidden="false" customHeight="true" outlineLevel="0" collapsed="false">
      <c r="A18" s="6" t="n">
        <v>12</v>
      </c>
      <c r="B18" s="7" t="s">
        <v>44</v>
      </c>
      <c r="C18" s="6" t="s">
        <v>48</v>
      </c>
      <c r="D18" s="8" t="s">
        <v>49</v>
      </c>
      <c r="E18" s="8" t="s">
        <v>50</v>
      </c>
      <c r="F18" s="9"/>
      <c r="G18" s="9"/>
      <c r="H18" s="10" t="str">
        <f aca="false">IF(AND(F18&lt;&gt;"",G18&lt;&gt;""),ABS(G18-F18),"")</f>
        <v/>
      </c>
    </row>
    <row r="19" customFormat="false" ht="79.5" hidden="false" customHeight="true" outlineLevel="0" collapsed="false">
      <c r="A19" s="6" t="n">
        <v>13</v>
      </c>
      <c r="B19" s="7" t="s">
        <v>44</v>
      </c>
      <c r="C19" s="6" t="s">
        <v>51</v>
      </c>
      <c r="D19" s="8" t="s">
        <v>52</v>
      </c>
      <c r="E19" s="8" t="s">
        <v>53</v>
      </c>
      <c r="F19" s="9"/>
      <c r="G19" s="9"/>
      <c r="H19" s="10" t="str">
        <f aca="false">IF(AND(F19&lt;&gt;"",G19&lt;&gt;""),ABS(G19-F19),"")</f>
        <v/>
      </c>
    </row>
    <row r="20" customFormat="false" ht="79.5" hidden="false" customHeight="true" outlineLevel="0" collapsed="false">
      <c r="A20" s="6" t="n">
        <v>14</v>
      </c>
      <c r="B20" s="7" t="s">
        <v>44</v>
      </c>
      <c r="C20" s="6" t="s">
        <v>54</v>
      </c>
      <c r="D20" s="8" t="s">
        <v>55</v>
      </c>
      <c r="E20" s="8" t="s">
        <v>56</v>
      </c>
      <c r="F20" s="9"/>
      <c r="G20" s="9"/>
      <c r="H20" s="10" t="str">
        <f aca="false">IF(AND(F20&lt;&gt;"",G20&lt;&gt;""),ABS(G20-F20),"")</f>
        <v/>
      </c>
    </row>
    <row r="21" customFormat="false" ht="79.5" hidden="false" customHeight="true" outlineLevel="0" collapsed="false">
      <c r="A21" s="6" t="n">
        <v>15</v>
      </c>
      <c r="B21" s="7" t="s">
        <v>44</v>
      </c>
      <c r="C21" s="6" t="s">
        <v>57</v>
      </c>
      <c r="D21" s="8" t="s">
        <v>58</v>
      </c>
      <c r="E21" s="8" t="s">
        <v>59</v>
      </c>
      <c r="F21" s="9"/>
      <c r="G21" s="9"/>
      <c r="H21" s="10" t="str">
        <f aca="false">IF(AND(F21&lt;&gt;"",G21&lt;&gt;""),ABS(G21-F21),"")</f>
        <v/>
      </c>
    </row>
    <row r="22" customFormat="false" ht="79.5" hidden="false" customHeight="true" outlineLevel="0" collapsed="false">
      <c r="A22" s="6" t="n">
        <v>16</v>
      </c>
      <c r="B22" s="7" t="s">
        <v>44</v>
      </c>
      <c r="C22" s="6" t="s">
        <v>60</v>
      </c>
      <c r="D22" s="8" t="s">
        <v>61</v>
      </c>
      <c r="E22" s="8" t="s">
        <v>62</v>
      </c>
      <c r="F22" s="9"/>
      <c r="G22" s="9"/>
      <c r="H22" s="10" t="str">
        <f aca="false">IF(AND(F22&lt;&gt;"",G22&lt;&gt;""),ABS(G22-F22),"")</f>
        <v/>
      </c>
    </row>
    <row r="23" customFormat="false" ht="79.5" hidden="false" customHeight="true" outlineLevel="0" collapsed="false">
      <c r="A23" s="6" t="n">
        <v>17</v>
      </c>
      <c r="B23" s="7" t="s">
        <v>44</v>
      </c>
      <c r="C23" s="6" t="s">
        <v>63</v>
      </c>
      <c r="D23" s="8" t="s">
        <v>64</v>
      </c>
      <c r="E23" s="8" t="s">
        <v>65</v>
      </c>
      <c r="F23" s="9"/>
      <c r="G23" s="9"/>
      <c r="H23" s="10" t="str">
        <f aca="false">IF(AND(F23&lt;&gt;"",G23&lt;&gt;""),ABS(G23-F23),"")</f>
        <v/>
      </c>
    </row>
    <row r="24" customFormat="false" ht="79.5" hidden="false" customHeight="true" outlineLevel="0" collapsed="false">
      <c r="A24" s="6" t="n">
        <v>18</v>
      </c>
      <c r="B24" s="7" t="s">
        <v>44</v>
      </c>
      <c r="C24" s="6" t="s">
        <v>66</v>
      </c>
      <c r="D24" s="8" t="s">
        <v>67</v>
      </c>
      <c r="E24" s="8" t="s">
        <v>68</v>
      </c>
      <c r="F24" s="9"/>
      <c r="G24" s="9"/>
      <c r="H24" s="10" t="str">
        <f aca="false">IF(AND(F24&lt;&gt;"",G24&lt;&gt;""),ABS(G24-F24),"")</f>
        <v/>
      </c>
    </row>
    <row r="25" customFormat="false" ht="79.5" hidden="false" customHeight="true" outlineLevel="0" collapsed="false">
      <c r="A25" s="6" t="n">
        <v>19</v>
      </c>
      <c r="B25" s="7" t="s">
        <v>44</v>
      </c>
      <c r="C25" s="6" t="s">
        <v>69</v>
      </c>
      <c r="D25" s="8" t="s">
        <v>70</v>
      </c>
      <c r="E25" s="8" t="s">
        <v>71</v>
      </c>
      <c r="F25" s="9"/>
      <c r="G25" s="9"/>
      <c r="H25" s="10" t="str">
        <f aca="false">IF(AND(F25&lt;&gt;"",G25&lt;&gt;""),ABS(G25-F25),"")</f>
        <v/>
      </c>
    </row>
    <row r="26" customFormat="false" ht="79.5" hidden="false" customHeight="true" outlineLevel="0" collapsed="false">
      <c r="A26" s="6" t="n">
        <v>20</v>
      </c>
      <c r="B26" s="7" t="s">
        <v>44</v>
      </c>
      <c r="C26" s="6" t="s">
        <v>72</v>
      </c>
      <c r="D26" s="8" t="s">
        <v>73</v>
      </c>
      <c r="E26" s="8" t="s">
        <v>74</v>
      </c>
      <c r="F26" s="9"/>
      <c r="G26" s="9"/>
      <c r="H26" s="10" t="str">
        <f aca="false">IF(AND(F26&lt;&gt;"",G26&lt;&gt;""),ABS(G26-F26),"")</f>
        <v/>
      </c>
    </row>
    <row r="27" customFormat="false" ht="24.75" hidden="false" customHeight="true" outlineLevel="0" collapsed="false">
      <c r="A27" s="5" t="s">
        <v>75</v>
      </c>
      <c r="B27" s="5"/>
      <c r="C27" s="5"/>
      <c r="D27" s="5"/>
      <c r="E27" s="5"/>
      <c r="F27" s="5"/>
      <c r="G27" s="5"/>
      <c r="H27" s="5"/>
    </row>
    <row r="28" customFormat="false" ht="79.5" hidden="false" customHeight="true" outlineLevel="0" collapsed="false">
      <c r="A28" s="6" t="n">
        <v>21</v>
      </c>
      <c r="B28" s="7" t="s">
        <v>76</v>
      </c>
      <c r="C28" s="6" t="s">
        <v>77</v>
      </c>
      <c r="D28" s="8" t="s">
        <v>78</v>
      </c>
      <c r="E28" s="8" t="s">
        <v>79</v>
      </c>
      <c r="F28" s="9"/>
      <c r="G28" s="9"/>
      <c r="H28" s="10" t="str">
        <f aca="false">IF(AND(F28&lt;&gt;"",G28&lt;&gt;""),ABS(G28-F28),"")</f>
        <v/>
      </c>
    </row>
    <row r="29" customFormat="false" ht="79.5" hidden="false" customHeight="true" outlineLevel="0" collapsed="false">
      <c r="A29" s="6" t="n">
        <v>22</v>
      </c>
      <c r="B29" s="7" t="s">
        <v>76</v>
      </c>
      <c r="C29" s="6" t="s">
        <v>80</v>
      </c>
      <c r="D29" s="8" t="s">
        <v>81</v>
      </c>
      <c r="E29" s="8" t="s">
        <v>82</v>
      </c>
      <c r="F29" s="9"/>
      <c r="G29" s="9"/>
      <c r="H29" s="10" t="str">
        <f aca="false">IF(AND(F29&lt;&gt;"",G29&lt;&gt;""),ABS(G29-F29),"")</f>
        <v/>
      </c>
    </row>
    <row r="30" customFormat="false" ht="79.5" hidden="false" customHeight="true" outlineLevel="0" collapsed="false">
      <c r="A30" s="6" t="n">
        <v>23</v>
      </c>
      <c r="B30" s="7" t="s">
        <v>76</v>
      </c>
      <c r="C30" s="6" t="s">
        <v>83</v>
      </c>
      <c r="D30" s="8" t="s">
        <v>84</v>
      </c>
      <c r="E30" s="8" t="s">
        <v>85</v>
      </c>
      <c r="F30" s="9"/>
      <c r="G30" s="9"/>
      <c r="H30" s="10" t="str">
        <f aca="false">IF(AND(F30&lt;&gt;"",G30&lt;&gt;""),ABS(G30-F30),"")</f>
        <v/>
      </c>
    </row>
    <row r="31" customFormat="false" ht="79.5" hidden="false" customHeight="true" outlineLevel="0" collapsed="false">
      <c r="A31" s="6" t="n">
        <v>24</v>
      </c>
      <c r="B31" s="7" t="s">
        <v>76</v>
      </c>
      <c r="C31" s="6" t="s">
        <v>86</v>
      </c>
      <c r="D31" s="8" t="s">
        <v>87</v>
      </c>
      <c r="E31" s="8" t="s">
        <v>88</v>
      </c>
      <c r="F31" s="9"/>
      <c r="G31" s="9"/>
      <c r="H31" s="10" t="str">
        <f aca="false">IF(AND(F31&lt;&gt;"",G31&lt;&gt;""),ABS(G31-F31),"")</f>
        <v/>
      </c>
    </row>
    <row r="32" customFormat="false" ht="79.5" hidden="false" customHeight="true" outlineLevel="0" collapsed="false">
      <c r="A32" s="6" t="n">
        <v>25</v>
      </c>
      <c r="B32" s="7" t="s">
        <v>76</v>
      </c>
      <c r="C32" s="6" t="s">
        <v>89</v>
      </c>
      <c r="D32" s="8" t="s">
        <v>90</v>
      </c>
      <c r="E32" s="8" t="s">
        <v>91</v>
      </c>
      <c r="F32" s="9"/>
      <c r="G32" s="9"/>
      <c r="H32" s="10" t="str">
        <f aca="false">IF(AND(F32&lt;&gt;"",G32&lt;&gt;""),ABS(G32-F32),"")</f>
        <v/>
      </c>
    </row>
    <row r="33" customFormat="false" ht="79.5" hidden="false" customHeight="true" outlineLevel="0" collapsed="false">
      <c r="A33" s="6" t="n">
        <v>26</v>
      </c>
      <c r="B33" s="7" t="s">
        <v>76</v>
      </c>
      <c r="C33" s="6" t="s">
        <v>92</v>
      </c>
      <c r="D33" s="8" t="s">
        <v>93</v>
      </c>
      <c r="E33" s="8" t="s">
        <v>94</v>
      </c>
      <c r="F33" s="9"/>
      <c r="G33" s="9"/>
      <c r="H33" s="10" t="str">
        <f aca="false">IF(AND(F33&lt;&gt;"",G33&lt;&gt;""),ABS(G33-F33),"")</f>
        <v/>
      </c>
    </row>
    <row r="34" customFormat="false" ht="79.5" hidden="false" customHeight="true" outlineLevel="0" collapsed="false">
      <c r="A34" s="6" t="n">
        <v>27</v>
      </c>
      <c r="B34" s="7" t="s">
        <v>76</v>
      </c>
      <c r="C34" s="6" t="s">
        <v>95</v>
      </c>
      <c r="D34" s="8" t="s">
        <v>96</v>
      </c>
      <c r="E34" s="8" t="s">
        <v>97</v>
      </c>
      <c r="F34" s="9"/>
      <c r="G34" s="9"/>
      <c r="H34" s="10" t="str">
        <f aca="false">IF(AND(F34&lt;&gt;"",G34&lt;&gt;""),ABS(G34-F34),"")</f>
        <v/>
      </c>
    </row>
    <row r="35" customFormat="false" ht="79.5" hidden="false" customHeight="true" outlineLevel="0" collapsed="false">
      <c r="A35" s="6" t="n">
        <v>28</v>
      </c>
      <c r="B35" s="7" t="s">
        <v>76</v>
      </c>
      <c r="C35" s="6" t="s">
        <v>98</v>
      </c>
      <c r="D35" s="8" t="s">
        <v>99</v>
      </c>
      <c r="E35" s="8" t="s">
        <v>100</v>
      </c>
      <c r="F35" s="9"/>
      <c r="G35" s="9"/>
      <c r="H35" s="10" t="str">
        <f aca="false">IF(AND(F35&lt;&gt;"",G35&lt;&gt;""),ABS(G35-F35),"")</f>
        <v/>
      </c>
    </row>
    <row r="36" customFormat="false" ht="79.5" hidden="false" customHeight="true" outlineLevel="0" collapsed="false">
      <c r="A36" s="6" t="n">
        <v>29</v>
      </c>
      <c r="B36" s="7" t="s">
        <v>76</v>
      </c>
      <c r="C36" s="6" t="s">
        <v>101</v>
      </c>
      <c r="D36" s="8" t="s">
        <v>102</v>
      </c>
      <c r="E36" s="8" t="s">
        <v>103</v>
      </c>
      <c r="F36" s="9"/>
      <c r="G36" s="9"/>
      <c r="H36" s="10" t="str">
        <f aca="false">IF(AND(F36&lt;&gt;"",G36&lt;&gt;""),ABS(G36-F36),"")</f>
        <v/>
      </c>
    </row>
    <row r="37" customFormat="false" ht="79.5" hidden="false" customHeight="true" outlineLevel="0" collapsed="false">
      <c r="A37" s="6" t="n">
        <v>30</v>
      </c>
      <c r="B37" s="7" t="s">
        <v>76</v>
      </c>
      <c r="C37" s="6" t="s">
        <v>104</v>
      </c>
      <c r="D37" s="8" t="s">
        <v>105</v>
      </c>
      <c r="E37" s="8" t="s">
        <v>106</v>
      </c>
      <c r="F37" s="9"/>
      <c r="G37" s="9"/>
      <c r="H37" s="10" t="str">
        <f aca="false">IF(AND(F37&lt;&gt;"",G37&lt;&gt;""),ABS(G37-F37),"")</f>
        <v/>
      </c>
    </row>
    <row r="38" customFormat="false" ht="24.75" hidden="false" customHeight="true" outlineLevel="0" collapsed="false">
      <c r="A38" s="5" t="s">
        <v>107</v>
      </c>
      <c r="B38" s="5"/>
      <c r="C38" s="5"/>
      <c r="D38" s="5"/>
      <c r="E38" s="5"/>
      <c r="F38" s="5"/>
      <c r="G38" s="5"/>
      <c r="H38" s="5"/>
    </row>
    <row r="39" customFormat="false" ht="79.5" hidden="false" customHeight="true" outlineLevel="0" collapsed="false">
      <c r="A39" s="6" t="n">
        <v>31</v>
      </c>
      <c r="B39" s="7" t="s">
        <v>108</v>
      </c>
      <c r="C39" s="6" t="s">
        <v>109</v>
      </c>
      <c r="D39" s="8" t="s">
        <v>110</v>
      </c>
      <c r="E39" s="8" t="s">
        <v>111</v>
      </c>
      <c r="F39" s="9"/>
      <c r="G39" s="9"/>
      <c r="H39" s="10" t="str">
        <f aca="false">IF(AND(F39&lt;&gt;"",G39&lt;&gt;""),ABS(G39-F39),"")</f>
        <v/>
      </c>
    </row>
    <row r="40" customFormat="false" ht="79.5" hidden="false" customHeight="true" outlineLevel="0" collapsed="false">
      <c r="A40" s="6" t="n">
        <v>32</v>
      </c>
      <c r="B40" s="7" t="s">
        <v>108</v>
      </c>
      <c r="C40" s="6" t="s">
        <v>112</v>
      </c>
      <c r="D40" s="8" t="s">
        <v>113</v>
      </c>
      <c r="E40" s="8" t="s">
        <v>114</v>
      </c>
      <c r="F40" s="9"/>
      <c r="G40" s="9"/>
      <c r="H40" s="10" t="str">
        <f aca="false">IF(AND(F40&lt;&gt;"",G40&lt;&gt;""),ABS(G40-F40),"")</f>
        <v/>
      </c>
    </row>
    <row r="41" customFormat="false" ht="79.5" hidden="false" customHeight="true" outlineLevel="0" collapsed="false">
      <c r="A41" s="6" t="n">
        <v>33</v>
      </c>
      <c r="B41" s="7" t="s">
        <v>108</v>
      </c>
      <c r="C41" s="6" t="s">
        <v>115</v>
      </c>
      <c r="D41" s="8" t="s">
        <v>116</v>
      </c>
      <c r="E41" s="8" t="s">
        <v>117</v>
      </c>
      <c r="F41" s="9"/>
      <c r="G41" s="9"/>
      <c r="H41" s="10" t="str">
        <f aca="false">IF(AND(F41&lt;&gt;"",G41&lt;&gt;""),ABS(G41-F41),"")</f>
        <v/>
      </c>
    </row>
    <row r="42" customFormat="false" ht="79.5" hidden="false" customHeight="true" outlineLevel="0" collapsed="false">
      <c r="A42" s="6" t="n">
        <v>34</v>
      </c>
      <c r="B42" s="7" t="s">
        <v>108</v>
      </c>
      <c r="C42" s="6" t="s">
        <v>118</v>
      </c>
      <c r="D42" s="8" t="s">
        <v>119</v>
      </c>
      <c r="E42" s="8" t="s">
        <v>120</v>
      </c>
      <c r="F42" s="9"/>
      <c r="G42" s="9"/>
      <c r="H42" s="10" t="str">
        <f aca="false">IF(AND(F42&lt;&gt;"",G42&lt;&gt;""),ABS(G42-F42),"")</f>
        <v/>
      </c>
    </row>
    <row r="43" customFormat="false" ht="79.5" hidden="false" customHeight="true" outlineLevel="0" collapsed="false">
      <c r="A43" s="6" t="n">
        <v>35</v>
      </c>
      <c r="B43" s="7" t="s">
        <v>108</v>
      </c>
      <c r="C43" s="6" t="s">
        <v>121</v>
      </c>
      <c r="D43" s="8" t="s">
        <v>122</v>
      </c>
      <c r="E43" s="8" t="s">
        <v>123</v>
      </c>
      <c r="F43" s="9"/>
      <c r="G43" s="9"/>
      <c r="H43" s="10" t="str">
        <f aca="false">IF(AND(F43&lt;&gt;"",G43&lt;&gt;""),ABS(G43-F43),"")</f>
        <v/>
      </c>
    </row>
    <row r="44" customFormat="false" ht="79.5" hidden="false" customHeight="true" outlineLevel="0" collapsed="false">
      <c r="A44" s="6" t="n">
        <v>36</v>
      </c>
      <c r="B44" s="7" t="s">
        <v>108</v>
      </c>
      <c r="C44" s="6" t="s">
        <v>124</v>
      </c>
      <c r="D44" s="8" t="s">
        <v>125</v>
      </c>
      <c r="E44" s="8" t="s">
        <v>126</v>
      </c>
      <c r="F44" s="9"/>
      <c r="G44" s="9"/>
      <c r="H44" s="10" t="str">
        <f aca="false">IF(AND(F44&lt;&gt;"",G44&lt;&gt;""),ABS(G44-F44),"")</f>
        <v/>
      </c>
    </row>
    <row r="45" customFormat="false" ht="79.5" hidden="false" customHeight="true" outlineLevel="0" collapsed="false">
      <c r="A45" s="6" t="n">
        <v>37</v>
      </c>
      <c r="B45" s="7" t="s">
        <v>108</v>
      </c>
      <c r="C45" s="6" t="s">
        <v>127</v>
      </c>
      <c r="D45" s="8" t="s">
        <v>128</v>
      </c>
      <c r="E45" s="8" t="s">
        <v>129</v>
      </c>
      <c r="F45" s="9"/>
      <c r="G45" s="9"/>
      <c r="H45" s="10" t="str">
        <f aca="false">IF(AND(F45&lt;&gt;"",G45&lt;&gt;""),ABS(G45-F45),"")</f>
        <v/>
      </c>
    </row>
    <row r="46" customFormat="false" ht="79.5" hidden="false" customHeight="true" outlineLevel="0" collapsed="false">
      <c r="A46" s="6" t="n">
        <v>38</v>
      </c>
      <c r="B46" s="7" t="s">
        <v>108</v>
      </c>
      <c r="C46" s="6" t="s">
        <v>130</v>
      </c>
      <c r="D46" s="8" t="s">
        <v>131</v>
      </c>
      <c r="E46" s="8" t="s">
        <v>132</v>
      </c>
      <c r="F46" s="9"/>
      <c r="G46" s="9"/>
      <c r="H46" s="10" t="str">
        <f aca="false">IF(AND(F46&lt;&gt;"",G46&lt;&gt;""),ABS(G46-F46),"")</f>
        <v/>
      </c>
    </row>
    <row r="47" customFormat="false" ht="79.5" hidden="false" customHeight="true" outlineLevel="0" collapsed="false">
      <c r="A47" s="6" t="n">
        <v>39</v>
      </c>
      <c r="B47" s="7" t="s">
        <v>108</v>
      </c>
      <c r="C47" s="6" t="s">
        <v>133</v>
      </c>
      <c r="D47" s="8" t="s">
        <v>134</v>
      </c>
      <c r="E47" s="8" t="s">
        <v>135</v>
      </c>
      <c r="F47" s="9"/>
      <c r="G47" s="9"/>
      <c r="H47" s="10" t="str">
        <f aca="false">IF(AND(F47&lt;&gt;"",G47&lt;&gt;""),ABS(G47-F47),"")</f>
        <v/>
      </c>
    </row>
    <row r="48" customFormat="false" ht="79.5" hidden="false" customHeight="true" outlineLevel="0" collapsed="false">
      <c r="A48" s="6" t="n">
        <v>40</v>
      </c>
      <c r="B48" s="7" t="s">
        <v>108</v>
      </c>
      <c r="C48" s="6" t="s">
        <v>136</v>
      </c>
      <c r="D48" s="8" t="s">
        <v>137</v>
      </c>
      <c r="E48" s="8" t="s">
        <v>138</v>
      </c>
      <c r="F48" s="9"/>
      <c r="G48" s="9"/>
      <c r="H48" s="10" t="str">
        <f aca="false">IF(AND(F48&lt;&gt;"",G48&lt;&gt;""),ABS(G48-F48),"")</f>
        <v/>
      </c>
    </row>
    <row r="49" customFormat="false" ht="24.75" hidden="false" customHeight="true" outlineLevel="0" collapsed="false">
      <c r="A49" s="5" t="s">
        <v>139</v>
      </c>
      <c r="B49" s="5"/>
      <c r="C49" s="5"/>
      <c r="D49" s="5"/>
      <c r="E49" s="5"/>
      <c r="F49" s="5"/>
      <c r="G49" s="5"/>
      <c r="H49" s="5"/>
    </row>
    <row r="50" customFormat="false" ht="79.5" hidden="false" customHeight="true" outlineLevel="0" collapsed="false">
      <c r="A50" s="6" t="n">
        <v>41</v>
      </c>
      <c r="B50" s="7" t="s">
        <v>140</v>
      </c>
      <c r="C50" s="6" t="s">
        <v>141</v>
      </c>
      <c r="D50" s="8" t="s">
        <v>142</v>
      </c>
      <c r="E50" s="8" t="s">
        <v>143</v>
      </c>
      <c r="F50" s="9"/>
      <c r="G50" s="9"/>
      <c r="H50" s="10" t="str">
        <f aca="false">IF(AND(F50&lt;&gt;"",G50&lt;&gt;""),ABS(G50-F50),"")</f>
        <v/>
      </c>
    </row>
    <row r="51" customFormat="false" ht="79.5" hidden="false" customHeight="true" outlineLevel="0" collapsed="false">
      <c r="A51" s="6" t="n">
        <v>42</v>
      </c>
      <c r="B51" s="7" t="s">
        <v>140</v>
      </c>
      <c r="C51" s="6" t="s">
        <v>144</v>
      </c>
      <c r="D51" s="8" t="s">
        <v>145</v>
      </c>
      <c r="E51" s="8" t="s">
        <v>146</v>
      </c>
      <c r="F51" s="9"/>
      <c r="G51" s="9"/>
      <c r="H51" s="10" t="str">
        <f aca="false">IF(AND(F51&lt;&gt;"",G51&lt;&gt;""),ABS(G51-F51),"")</f>
        <v/>
      </c>
    </row>
    <row r="52" customFormat="false" ht="79.5" hidden="false" customHeight="true" outlineLevel="0" collapsed="false">
      <c r="A52" s="6" t="n">
        <v>43</v>
      </c>
      <c r="B52" s="7" t="s">
        <v>140</v>
      </c>
      <c r="C52" s="6" t="s">
        <v>147</v>
      </c>
      <c r="D52" s="8" t="s">
        <v>148</v>
      </c>
      <c r="E52" s="8" t="s">
        <v>149</v>
      </c>
      <c r="F52" s="9"/>
      <c r="G52" s="9"/>
      <c r="H52" s="10" t="str">
        <f aca="false">IF(AND(F52&lt;&gt;"",G52&lt;&gt;""),ABS(G52-F52),"")</f>
        <v/>
      </c>
    </row>
    <row r="53" customFormat="false" ht="79.5" hidden="false" customHeight="true" outlineLevel="0" collapsed="false">
      <c r="A53" s="6" t="n">
        <v>44</v>
      </c>
      <c r="B53" s="7" t="s">
        <v>140</v>
      </c>
      <c r="C53" s="6" t="s">
        <v>150</v>
      </c>
      <c r="D53" s="8" t="s">
        <v>151</v>
      </c>
      <c r="E53" s="8" t="s">
        <v>152</v>
      </c>
      <c r="F53" s="9"/>
      <c r="G53" s="9"/>
      <c r="H53" s="10" t="str">
        <f aca="false">IF(AND(F53&lt;&gt;"",G53&lt;&gt;""),ABS(G53-F53),"")</f>
        <v/>
      </c>
    </row>
    <row r="54" customFormat="false" ht="79.5" hidden="false" customHeight="true" outlineLevel="0" collapsed="false">
      <c r="A54" s="6" t="n">
        <v>45</v>
      </c>
      <c r="B54" s="7" t="s">
        <v>140</v>
      </c>
      <c r="C54" s="6" t="s">
        <v>153</v>
      </c>
      <c r="D54" s="8" t="s">
        <v>154</v>
      </c>
      <c r="E54" s="8" t="s">
        <v>155</v>
      </c>
      <c r="F54" s="9"/>
      <c r="G54" s="9"/>
      <c r="H54" s="10" t="str">
        <f aca="false">IF(AND(F54&lt;&gt;"",G54&lt;&gt;""),ABS(G54-F54),"")</f>
        <v/>
      </c>
    </row>
    <row r="55" customFormat="false" ht="79.5" hidden="false" customHeight="true" outlineLevel="0" collapsed="false">
      <c r="A55" s="6" t="n">
        <v>46</v>
      </c>
      <c r="B55" s="7" t="s">
        <v>140</v>
      </c>
      <c r="C55" s="6" t="s">
        <v>156</v>
      </c>
      <c r="D55" s="8" t="s">
        <v>157</v>
      </c>
      <c r="E55" s="8" t="s">
        <v>158</v>
      </c>
      <c r="F55" s="9"/>
      <c r="G55" s="9"/>
      <c r="H55" s="10" t="str">
        <f aca="false">IF(AND(F55&lt;&gt;"",G55&lt;&gt;""),ABS(G55-F55),"")</f>
        <v/>
      </c>
    </row>
    <row r="56" customFormat="false" ht="79.5" hidden="false" customHeight="true" outlineLevel="0" collapsed="false">
      <c r="A56" s="6" t="n">
        <v>47</v>
      </c>
      <c r="B56" s="7" t="s">
        <v>140</v>
      </c>
      <c r="C56" s="6" t="s">
        <v>159</v>
      </c>
      <c r="D56" s="8" t="s">
        <v>160</v>
      </c>
      <c r="E56" s="8" t="s">
        <v>161</v>
      </c>
      <c r="F56" s="9"/>
      <c r="G56" s="9"/>
      <c r="H56" s="10" t="str">
        <f aca="false">IF(AND(F56&lt;&gt;"",G56&lt;&gt;""),ABS(G56-F56),"")</f>
        <v/>
      </c>
    </row>
    <row r="57" customFormat="false" ht="79.5" hidden="false" customHeight="true" outlineLevel="0" collapsed="false">
      <c r="A57" s="6" t="n">
        <v>48</v>
      </c>
      <c r="B57" s="7" t="s">
        <v>140</v>
      </c>
      <c r="C57" s="6" t="s">
        <v>162</v>
      </c>
      <c r="D57" s="8" t="s">
        <v>163</v>
      </c>
      <c r="E57" s="8" t="s">
        <v>164</v>
      </c>
      <c r="F57" s="9"/>
      <c r="G57" s="9"/>
      <c r="H57" s="10" t="str">
        <f aca="false">IF(AND(F57&lt;&gt;"",G57&lt;&gt;""),ABS(G57-F57),"")</f>
        <v/>
      </c>
    </row>
    <row r="58" customFormat="false" ht="79.5" hidden="false" customHeight="true" outlineLevel="0" collapsed="false">
      <c r="A58" s="6" t="n">
        <v>49</v>
      </c>
      <c r="B58" s="7" t="s">
        <v>140</v>
      </c>
      <c r="C58" s="6" t="s">
        <v>165</v>
      </c>
      <c r="D58" s="8" t="s">
        <v>166</v>
      </c>
      <c r="E58" s="8" t="s">
        <v>167</v>
      </c>
      <c r="F58" s="9"/>
      <c r="G58" s="9"/>
      <c r="H58" s="10" t="str">
        <f aca="false">IF(AND(F58&lt;&gt;"",G58&lt;&gt;""),ABS(G58-F58),"")</f>
        <v/>
      </c>
    </row>
    <row r="59" customFormat="false" ht="79.5" hidden="false" customHeight="true" outlineLevel="0" collapsed="false">
      <c r="A59" s="6" t="n">
        <v>50</v>
      </c>
      <c r="B59" s="7" t="s">
        <v>140</v>
      </c>
      <c r="C59" s="6" t="s">
        <v>168</v>
      </c>
      <c r="D59" s="8" t="s">
        <v>169</v>
      </c>
      <c r="E59" s="8" t="s">
        <v>170</v>
      </c>
      <c r="F59" s="9"/>
      <c r="G59" s="9"/>
      <c r="H59" s="10" t="str">
        <f aca="false">IF(AND(F59&lt;&gt;"",G59&lt;&gt;""),ABS(G59-F59),"")</f>
        <v/>
      </c>
    </row>
  </sheetData>
  <mergeCells count="8">
    <mergeCell ref="A1:H1"/>
    <mergeCell ref="A2:H2"/>
    <mergeCell ref="A3:H3"/>
    <mergeCell ref="A5:H5"/>
    <mergeCell ref="A16:H16"/>
    <mergeCell ref="A27:H27"/>
    <mergeCell ref="A38:H38"/>
    <mergeCell ref="A49:H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3" min="2" style="0" width="20"/>
    <col collapsed="false" customWidth="true" hidden="false" outlineLevel="0" max="4" min="4" style="0" width="18"/>
    <col collapsed="false" customWidth="true" hidden="false" outlineLevel="0" max="7" min="5" style="0" width="22"/>
  </cols>
  <sheetData>
    <row r="1" customFormat="false" ht="17.35" hidden="false" customHeight="false" outlineLevel="0" collapsed="false">
      <c r="A1" s="11" t="s">
        <v>171</v>
      </c>
      <c r="B1" s="11"/>
      <c r="C1" s="11"/>
      <c r="D1" s="11"/>
      <c r="E1" s="11"/>
      <c r="F1" s="11"/>
      <c r="G1" s="11"/>
    </row>
    <row r="3" customFormat="false" ht="26.85" hidden="false" customHeight="false" outlineLevel="0" collapsed="false">
      <c r="A3" s="4" t="s">
        <v>4</v>
      </c>
      <c r="B3" s="4" t="s">
        <v>172</v>
      </c>
      <c r="C3" s="4" t="s">
        <v>173</v>
      </c>
      <c r="D3" s="4" t="s">
        <v>174</v>
      </c>
      <c r="E3" s="4" t="s">
        <v>175</v>
      </c>
      <c r="F3" s="4" t="s">
        <v>176</v>
      </c>
      <c r="G3" s="4" t="s">
        <v>177</v>
      </c>
    </row>
    <row r="4" customFormat="false" ht="15" hidden="false" customHeight="false" outlineLevel="0" collapsed="false">
      <c r="A4" s="7" t="s">
        <v>12</v>
      </c>
      <c r="B4" s="12" t="str">
        <f aca="false">IFERROR(AVERAGE(Questions!F6:F15),"")</f>
        <v/>
      </c>
      <c r="C4" s="12" t="str">
        <f aca="false">IFERROR(AVERAGE(Questions!G6:G15),"")</f>
        <v/>
      </c>
      <c r="D4" s="12" t="str">
        <f aca="false">IFERROR(AVERAGE(Questions!H6:H15),"")</f>
        <v/>
      </c>
      <c r="E4" s="13" t="str">
        <f aca="false">IFERROR((1-D4/4)*100,"")</f>
        <v/>
      </c>
      <c r="F4" s="12" t="str">
        <f aca="false">IFERROR(B4/5*100,"")</f>
        <v/>
      </c>
      <c r="G4" s="6" t="str">
        <f aca="false">IFERROR(IF(E4&gt;=90,"STRENGTH",IF(E4&gt;=75,"OPPORTUNITY",IF(E4&gt;=60,"THREAT","WEAKNESS"))),"")</f>
        <v>STRENGTH</v>
      </c>
    </row>
    <row r="5" customFormat="false" ht="15" hidden="false" customHeight="false" outlineLevel="0" collapsed="false">
      <c r="A5" s="7" t="s">
        <v>44</v>
      </c>
      <c r="B5" s="12" t="str">
        <f aca="false">IFERROR(AVERAGE(Questions!F17:F26),"")</f>
        <v/>
      </c>
      <c r="C5" s="12" t="str">
        <f aca="false">IFERROR(AVERAGE(Questions!G17:G26),"")</f>
        <v/>
      </c>
      <c r="D5" s="12" t="str">
        <f aca="false">IFERROR(AVERAGE(Questions!H17:H26),"")</f>
        <v/>
      </c>
      <c r="E5" s="13" t="str">
        <f aca="false">IFERROR((1-D5/4)*100,"")</f>
        <v/>
      </c>
      <c r="F5" s="12" t="str">
        <f aca="false">IFERROR(B5/5*100,"")</f>
        <v/>
      </c>
      <c r="G5" s="6" t="str">
        <f aca="false">IFERROR(IF(E5&gt;=90,"STRENGTH",IF(E5&gt;=75,"OPPORTUNITY",IF(E5&gt;=60,"THREAT","WEAKNESS"))),"")</f>
        <v>STRENGTH</v>
      </c>
    </row>
    <row r="6" customFormat="false" ht="15" hidden="false" customHeight="false" outlineLevel="0" collapsed="false">
      <c r="A6" s="7" t="s">
        <v>76</v>
      </c>
      <c r="B6" s="12" t="str">
        <f aca="false">IFERROR(AVERAGE(Questions!F28:F37),"")</f>
        <v/>
      </c>
      <c r="C6" s="12" t="str">
        <f aca="false">IFERROR(AVERAGE(Questions!G28:G37),"")</f>
        <v/>
      </c>
      <c r="D6" s="12" t="str">
        <f aca="false">IFERROR(AVERAGE(Questions!H28:H37),"")</f>
        <v/>
      </c>
      <c r="E6" s="13" t="str">
        <f aca="false">IFERROR((1-D6/4)*100,"")</f>
        <v/>
      </c>
      <c r="F6" s="12" t="str">
        <f aca="false">IFERROR(B6/5*100,"")</f>
        <v/>
      </c>
      <c r="G6" s="6" t="str">
        <f aca="false">IFERROR(IF(E6&gt;=90,"STRENGTH",IF(E6&gt;=75,"OPPORTUNITY",IF(E6&gt;=60,"THREAT","WEAKNESS"))),"")</f>
        <v>STRENGTH</v>
      </c>
    </row>
    <row r="7" customFormat="false" ht="15" hidden="false" customHeight="false" outlineLevel="0" collapsed="false">
      <c r="A7" s="7" t="s">
        <v>108</v>
      </c>
      <c r="B7" s="12" t="str">
        <f aca="false">IFERROR(AVERAGE(Questions!F39:F48),"")</f>
        <v/>
      </c>
      <c r="C7" s="12" t="str">
        <f aca="false">IFERROR(AVERAGE(Questions!G39:G48),"")</f>
        <v/>
      </c>
      <c r="D7" s="12" t="str">
        <f aca="false">IFERROR(AVERAGE(Questions!H39:H48),"")</f>
        <v/>
      </c>
      <c r="E7" s="13" t="str">
        <f aca="false">IFERROR((1-D7/4)*100,"")</f>
        <v/>
      </c>
      <c r="F7" s="12" t="str">
        <f aca="false">IFERROR(B7/5*100,"")</f>
        <v/>
      </c>
      <c r="G7" s="6" t="str">
        <f aca="false">IFERROR(IF(E7&gt;=90,"STRENGTH",IF(E7&gt;=75,"OPPORTUNITY",IF(E7&gt;=60,"THREAT","WEAKNESS"))),"")</f>
        <v>STRENGTH</v>
      </c>
    </row>
    <row r="8" customFormat="false" ht="15" hidden="false" customHeight="false" outlineLevel="0" collapsed="false">
      <c r="A8" s="7" t="s">
        <v>140</v>
      </c>
      <c r="B8" s="12" t="str">
        <f aca="false">IFERROR(AVERAGE(Questions!F50:F59),"")</f>
        <v/>
      </c>
      <c r="C8" s="12" t="str">
        <f aca="false">IFERROR(AVERAGE(Questions!G50:G59),"")</f>
        <v/>
      </c>
      <c r="D8" s="12" t="str">
        <f aca="false">IFERROR(AVERAGE(Questions!H50:H59),"")</f>
        <v/>
      </c>
      <c r="E8" s="13" t="str">
        <f aca="false">IFERROR((1-D8/4)*100,"")</f>
        <v/>
      </c>
      <c r="F8" s="12" t="str">
        <f aca="false">IFERROR(B8/5*100,"")</f>
        <v/>
      </c>
      <c r="G8" s="6" t="str">
        <f aca="false">IFERROR(IF(E8&gt;=90,"STRENGTH",IF(E8&gt;=75,"OPPORTUNITY",IF(E8&gt;=60,"THREAT","WEAKNESS"))),"")</f>
        <v>STRENGTH</v>
      </c>
    </row>
    <row r="11" customFormat="false" ht="15" hidden="false" customHeight="false" outlineLevel="0" collapsed="false">
      <c r="A11" s="14" t="s">
        <v>178</v>
      </c>
      <c r="B11" s="14"/>
      <c r="C11" s="14"/>
      <c r="D11" s="14"/>
      <c r="E11" s="14"/>
      <c r="F11" s="14"/>
      <c r="G11" s="14"/>
    </row>
    <row r="12" customFormat="false" ht="15" hidden="false" customHeight="false" outlineLevel="0" collapsed="false">
      <c r="A12" s="7" t="s">
        <v>179</v>
      </c>
      <c r="B12" s="15" t="str">
        <f aca="false">IFERROR(AVERAGE(F4:F8),"")</f>
        <v/>
      </c>
    </row>
    <row r="13" customFormat="false" ht="15" hidden="false" customHeight="false" outlineLevel="0" collapsed="false">
      <c r="A13" s="7" t="s">
        <v>180</v>
      </c>
      <c r="B13" s="15" t="str">
        <f aca="false">IFERROR(AVERAGE(D4:D8),"")</f>
        <v/>
      </c>
    </row>
    <row r="14" customFormat="false" ht="15" hidden="false" customHeight="false" outlineLevel="0" collapsed="false">
      <c r="A14" s="7" t="s">
        <v>181</v>
      </c>
      <c r="B14" s="15" t="str">
        <f aca="false">IFERROR(AVERAGE(E4:E8),"")</f>
        <v/>
      </c>
    </row>
    <row r="15" customFormat="false" ht="15" hidden="false" customHeight="false" outlineLevel="0" collapsed="false">
      <c r="A15" s="7" t="s">
        <v>182</v>
      </c>
      <c r="B15" s="10" t="n">
        <f aca="false">COUNTA(Questions!F6:F59)</f>
        <v>0</v>
      </c>
    </row>
    <row r="16" customFormat="false" ht="15" hidden="false" customHeight="false" outlineLevel="0" collapsed="false">
      <c r="A16" s="7" t="s">
        <v>183</v>
      </c>
      <c r="B16" s="10" t="n">
        <f aca="false">COUNTIF(G4:G8,"STRENGTH")</f>
        <v>5</v>
      </c>
    </row>
    <row r="17" customFormat="false" ht="15" hidden="false" customHeight="false" outlineLevel="0" collapsed="false">
      <c r="A17" s="7" t="s">
        <v>184</v>
      </c>
      <c r="B17" s="10" t="n">
        <f aca="false">COUNTIF(G4:G8,"OPPORTUNITY")</f>
        <v>0</v>
      </c>
    </row>
    <row r="18" customFormat="false" ht="15" hidden="false" customHeight="false" outlineLevel="0" collapsed="false">
      <c r="A18" s="7" t="s">
        <v>185</v>
      </c>
      <c r="B18" s="10" t="n">
        <f aca="false">COUNTIF(G4:G8,"THREAT")</f>
        <v>0</v>
      </c>
    </row>
    <row r="19" customFormat="false" ht="15" hidden="false" customHeight="false" outlineLevel="0" collapsed="false">
      <c r="A19" s="7" t="s">
        <v>186</v>
      </c>
      <c r="B19" s="10" t="n">
        <f aca="false">COUNTIF(G4:G8,"WEAKNESS")</f>
        <v>0</v>
      </c>
    </row>
    <row r="20" customFormat="false" ht="15" hidden="false" customHeight="false" outlineLevel="0" collapsed="false">
      <c r="A20" s="7"/>
      <c r="B20" s="6"/>
    </row>
    <row r="21" customFormat="false" ht="23.85" hidden="false" customHeight="false" outlineLevel="0" collapsed="false">
      <c r="A21" s="7" t="s">
        <v>187</v>
      </c>
      <c r="B21" s="6"/>
    </row>
    <row r="22" customFormat="false" ht="35.05" hidden="false" customHeight="false" outlineLevel="0" collapsed="false">
      <c r="A22" s="7" t="s">
        <v>188</v>
      </c>
      <c r="B22" s="6" t="s">
        <v>189</v>
      </c>
    </row>
    <row r="23" customFormat="false" ht="46.25" hidden="false" customHeight="false" outlineLevel="0" collapsed="false">
      <c r="A23" s="7" t="s">
        <v>190</v>
      </c>
      <c r="B23" s="6" t="s">
        <v>191</v>
      </c>
    </row>
    <row r="24" customFormat="false" ht="46.25" hidden="false" customHeight="false" outlineLevel="0" collapsed="false">
      <c r="A24" s="7" t="s">
        <v>192</v>
      </c>
      <c r="B24" s="6" t="s">
        <v>193</v>
      </c>
    </row>
    <row r="25" customFormat="false" ht="35.05" hidden="false" customHeight="false" outlineLevel="0" collapsed="false">
      <c r="A25" s="7" t="s">
        <v>194</v>
      </c>
      <c r="B25" s="6" t="s">
        <v>195</v>
      </c>
    </row>
    <row r="26" customFormat="false" ht="46.25" hidden="false" customHeight="false" outlineLevel="0" collapsed="false">
      <c r="A26" s="7" t="s">
        <v>196</v>
      </c>
      <c r="B26" s="6" t="s">
        <v>197</v>
      </c>
    </row>
  </sheetData>
  <mergeCells count="2">
    <mergeCell ref="A1:G1"/>
    <mergeCell ref="A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5100"/>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90"/>
  </cols>
  <sheetData>
    <row r="1" customFormat="false" ht="17.35" hidden="false" customHeight="false" outlineLevel="0" collapsed="false">
      <c r="A1" s="11" t="s">
        <v>198</v>
      </c>
      <c r="B1" s="11"/>
      <c r="C1" s="11"/>
    </row>
    <row r="3" customFormat="false" ht="15" hidden="false" customHeight="false" outlineLevel="0" collapsed="false">
      <c r="A3" s="4" t="s">
        <v>4</v>
      </c>
      <c r="B3" s="4" t="s">
        <v>199</v>
      </c>
      <c r="C3" s="4" t="s">
        <v>200</v>
      </c>
    </row>
    <row r="4" customFormat="false" ht="64.5" hidden="false" customHeight="true" outlineLevel="0" collapsed="false">
      <c r="A4" s="7" t="s">
        <v>12</v>
      </c>
      <c r="B4" s="8" t="s">
        <v>201</v>
      </c>
      <c r="C4" s="8" t="s">
        <v>202</v>
      </c>
    </row>
    <row r="5" customFormat="false" ht="64.5" hidden="false" customHeight="true" outlineLevel="0" collapsed="false">
      <c r="A5" s="7" t="s">
        <v>12</v>
      </c>
      <c r="B5" s="8" t="s">
        <v>203</v>
      </c>
      <c r="C5" s="8" t="s">
        <v>204</v>
      </c>
    </row>
    <row r="6" customFormat="false" ht="64.5" hidden="false" customHeight="true" outlineLevel="0" collapsed="false">
      <c r="A6" s="7" t="s">
        <v>12</v>
      </c>
      <c r="B6" s="8" t="s">
        <v>205</v>
      </c>
      <c r="C6" s="8" t="s">
        <v>206</v>
      </c>
    </row>
    <row r="7" customFormat="false" ht="64.5" hidden="false" customHeight="true" outlineLevel="0" collapsed="false">
      <c r="A7" s="7" t="s">
        <v>12</v>
      </c>
      <c r="B7" s="8" t="s">
        <v>207</v>
      </c>
      <c r="C7" s="8" t="s">
        <v>208</v>
      </c>
    </row>
    <row r="8" customFormat="false" ht="64.5" hidden="false" customHeight="true" outlineLevel="0" collapsed="false">
      <c r="A8" s="7" t="s">
        <v>44</v>
      </c>
      <c r="B8" s="8" t="s">
        <v>201</v>
      </c>
      <c r="C8" s="8" t="s">
        <v>209</v>
      </c>
    </row>
    <row r="9" customFormat="false" ht="64.5" hidden="false" customHeight="true" outlineLevel="0" collapsed="false">
      <c r="A9" s="7" t="s">
        <v>44</v>
      </c>
      <c r="B9" s="8" t="s">
        <v>203</v>
      </c>
      <c r="C9" s="8" t="s">
        <v>210</v>
      </c>
    </row>
    <row r="10" customFormat="false" ht="64.5" hidden="false" customHeight="true" outlineLevel="0" collapsed="false">
      <c r="A10" s="7" t="s">
        <v>44</v>
      </c>
      <c r="B10" s="8" t="s">
        <v>205</v>
      </c>
      <c r="C10" s="8" t="s">
        <v>211</v>
      </c>
    </row>
    <row r="11" customFormat="false" ht="64.5" hidden="false" customHeight="true" outlineLevel="0" collapsed="false">
      <c r="A11" s="7" t="s">
        <v>44</v>
      </c>
      <c r="B11" s="8" t="s">
        <v>207</v>
      </c>
      <c r="C11" s="8" t="s">
        <v>212</v>
      </c>
    </row>
    <row r="12" customFormat="false" ht="64.5" hidden="false" customHeight="true" outlineLevel="0" collapsed="false">
      <c r="A12" s="7" t="s">
        <v>76</v>
      </c>
      <c r="B12" s="8" t="s">
        <v>201</v>
      </c>
      <c r="C12" s="8" t="s">
        <v>213</v>
      </c>
    </row>
    <row r="13" customFormat="false" ht="64.5" hidden="false" customHeight="true" outlineLevel="0" collapsed="false">
      <c r="A13" s="7" t="s">
        <v>76</v>
      </c>
      <c r="B13" s="8" t="s">
        <v>203</v>
      </c>
      <c r="C13" s="8" t="s">
        <v>214</v>
      </c>
    </row>
    <row r="14" customFormat="false" ht="64.5" hidden="false" customHeight="true" outlineLevel="0" collapsed="false">
      <c r="A14" s="7" t="s">
        <v>76</v>
      </c>
      <c r="B14" s="8" t="s">
        <v>205</v>
      </c>
      <c r="C14" s="8" t="s">
        <v>215</v>
      </c>
    </row>
    <row r="15" customFormat="false" ht="64.5" hidden="false" customHeight="true" outlineLevel="0" collapsed="false">
      <c r="A15" s="7" t="s">
        <v>76</v>
      </c>
      <c r="B15" s="8" t="s">
        <v>207</v>
      </c>
      <c r="C15" s="8" t="s">
        <v>216</v>
      </c>
    </row>
    <row r="16" customFormat="false" ht="64.5" hidden="false" customHeight="true" outlineLevel="0" collapsed="false">
      <c r="A16" s="7" t="s">
        <v>108</v>
      </c>
      <c r="B16" s="8" t="s">
        <v>201</v>
      </c>
      <c r="C16" s="8" t="s">
        <v>217</v>
      </c>
    </row>
    <row r="17" customFormat="false" ht="64.5" hidden="false" customHeight="true" outlineLevel="0" collapsed="false">
      <c r="A17" s="7" t="s">
        <v>108</v>
      </c>
      <c r="B17" s="8" t="s">
        <v>203</v>
      </c>
      <c r="C17" s="8" t="s">
        <v>218</v>
      </c>
    </row>
    <row r="18" customFormat="false" ht="64.5" hidden="false" customHeight="true" outlineLevel="0" collapsed="false">
      <c r="A18" s="7" t="s">
        <v>108</v>
      </c>
      <c r="B18" s="8" t="s">
        <v>205</v>
      </c>
      <c r="C18" s="8" t="s">
        <v>219</v>
      </c>
    </row>
    <row r="19" customFormat="false" ht="64.5" hidden="false" customHeight="true" outlineLevel="0" collapsed="false">
      <c r="A19" s="7" t="s">
        <v>108</v>
      </c>
      <c r="B19" s="8" t="s">
        <v>207</v>
      </c>
      <c r="C19" s="8" t="s">
        <v>220</v>
      </c>
    </row>
    <row r="20" customFormat="false" ht="64.5" hidden="false" customHeight="true" outlineLevel="0" collapsed="false">
      <c r="A20" s="7" t="s">
        <v>140</v>
      </c>
      <c r="B20" s="8" t="s">
        <v>201</v>
      </c>
      <c r="C20" s="8" t="s">
        <v>221</v>
      </c>
    </row>
    <row r="21" customFormat="false" ht="64.5" hidden="false" customHeight="true" outlineLevel="0" collapsed="false">
      <c r="A21" s="7" t="s">
        <v>140</v>
      </c>
      <c r="B21" s="8" t="s">
        <v>203</v>
      </c>
      <c r="C21" s="8" t="s">
        <v>222</v>
      </c>
    </row>
    <row r="22" customFormat="false" ht="64.5" hidden="false" customHeight="true" outlineLevel="0" collapsed="false">
      <c r="A22" s="7" t="s">
        <v>140</v>
      </c>
      <c r="B22" s="8" t="s">
        <v>205</v>
      </c>
      <c r="C22" s="8" t="s">
        <v>223</v>
      </c>
    </row>
    <row r="23" customFormat="false" ht="64.5" hidden="false" customHeight="true" outlineLevel="0" collapsed="false">
      <c r="A23" s="7" t="s">
        <v>140</v>
      </c>
      <c r="B23" s="8" t="s">
        <v>207</v>
      </c>
      <c r="C23" s="8" t="s">
        <v>224</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55A64"/>
    <pageSetUpPr fitToPage="false"/>
  </sheetPr>
  <dimension ref="A1: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00"/>
  </cols>
  <sheetData>
    <row r="1" customFormat="false" ht="17.35" hidden="false" customHeight="false" outlineLevel="0" collapsed="false">
      <c r="A1" s="16" t="s">
        <v>0</v>
      </c>
    </row>
    <row r="2" customFormat="false" ht="15" hidden="false" customHeight="false" outlineLevel="0" collapsed="false">
      <c r="A2" s="17" t="s">
        <v>225</v>
      </c>
    </row>
    <row r="3" customFormat="false" ht="15" hidden="false" customHeight="false" outlineLevel="0" collapsed="false">
      <c r="A3" s="18"/>
    </row>
    <row r="4" customFormat="false" ht="15" hidden="false" customHeight="false" outlineLevel="0" collapsed="false">
      <c r="A4" s="19" t="s">
        <v>226</v>
      </c>
    </row>
    <row r="5" customFormat="false" ht="35.05" hidden="false" customHeight="false" outlineLevel="0" collapsed="false">
      <c r="A5" s="18" t="s">
        <v>227</v>
      </c>
    </row>
    <row r="6" customFormat="false" ht="15" hidden="false" customHeight="false" outlineLevel="0" collapsed="false">
      <c r="A6" s="18"/>
    </row>
    <row r="7" customFormat="false" ht="15" hidden="false" customHeight="false" outlineLevel="0" collapsed="false">
      <c r="A7" s="19" t="s">
        <v>228</v>
      </c>
    </row>
    <row r="8" customFormat="false" ht="15" hidden="false" customHeight="false" outlineLevel="0" collapsed="false">
      <c r="A8" s="18" t="s">
        <v>229</v>
      </c>
    </row>
    <row r="9" customFormat="false" ht="15" hidden="false" customHeight="false" outlineLevel="0" collapsed="false">
      <c r="A9" s="18" t="s">
        <v>230</v>
      </c>
    </row>
    <row r="10" customFormat="false" ht="15" hidden="false" customHeight="false" outlineLevel="0" collapsed="false">
      <c r="A10" s="18" t="s">
        <v>231</v>
      </c>
    </row>
    <row r="11" customFormat="false" ht="15" hidden="false" customHeight="false" outlineLevel="0" collapsed="false">
      <c r="A11" s="18" t="s">
        <v>232</v>
      </c>
    </row>
    <row r="12" customFormat="false" ht="15" hidden="false" customHeight="false" outlineLevel="0" collapsed="false">
      <c r="A12" s="18" t="s">
        <v>233</v>
      </c>
    </row>
    <row r="13" customFormat="false" ht="15" hidden="false" customHeight="false" outlineLevel="0" collapsed="false">
      <c r="A13" s="18"/>
    </row>
    <row r="14" customFormat="false" ht="15" hidden="false" customHeight="false" outlineLevel="0" collapsed="false">
      <c r="A14" s="19" t="s">
        <v>187</v>
      </c>
    </row>
    <row r="15" customFormat="false" ht="15" hidden="false" customHeight="false" outlineLevel="0" collapsed="false">
      <c r="A15" s="18" t="s">
        <v>234</v>
      </c>
    </row>
    <row r="16" customFormat="false" ht="15" hidden="false" customHeight="false" outlineLevel="0" collapsed="false">
      <c r="A16" s="18" t="s">
        <v>235</v>
      </c>
    </row>
    <row r="17" customFormat="false" ht="15" hidden="false" customHeight="false" outlineLevel="0" collapsed="false">
      <c r="A17" s="18" t="s">
        <v>236</v>
      </c>
    </row>
    <row r="18" customFormat="false" ht="15" hidden="false" customHeight="false" outlineLevel="0" collapsed="false">
      <c r="A18" s="18" t="s">
        <v>237</v>
      </c>
    </row>
    <row r="19" customFormat="false" ht="15" hidden="false" customHeight="false" outlineLevel="0" collapsed="false">
      <c r="A19" s="18" t="s">
        <v>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2026-02-10T18:09:05Z</dcterms:created>
  <dc:creator>openpyxl</dc:creator>
  <dc:description/>
  <dc:language>en-US</dc:language>
  <cp:lastModifiedBy/>
  <dcterms:modified xsi:type="dcterms:W3CDTF">2026-02-10T18:09:05Z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