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Scoring Engine" sheetId="2" state="visible" r:id="rId4"/>
    <sheet name="SWOT Narratives" sheetId="3" state="visible" r:id="rId5"/>
    <sheet name="Response Variables" sheetId="4" state="visible" r:id="rId6"/>
    <sheet name="Instruction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<sst xmlns="http://schemas.openxmlformats.org/spreadsheetml/2006/main" count="564" uniqueCount="353">
  <si>
    <t xml:space="preserve">CATHEDRAL CENTER — PRACTICE GAP ANALYSIS ASSESSMENT</t>
  </si>
  <si>
    <t xml:space="preserve">Tier 2 Self-Assessment | Measures Current State vs. Desired Future State Across 9 Practice Dimensions</t>
  </si>
  <si>
    <t xml:space="preserve">Response Scale: 1 = Not at all like our firm  |  2 = Not much like our firm  |  3 = Somewhat like our firm  |  4 = Mostly like our firm  |  5 = Exactly like our firm</t>
  </si>
  <si>
    <t xml:space="preserve">#</t>
  </si>
  <si>
    <t xml:space="preserve">DNA Category</t>
  </si>
  <si>
    <t xml:space="preserve">Code</t>
  </si>
  <si>
    <t xml:space="preserve">Assessment Statement</t>
  </si>
  <si>
    <t xml:space="preserve">Context &amp; Guidance</t>
  </si>
  <si>
    <t xml:space="preserve">Current State
(1-5)</t>
  </si>
  <si>
    <t xml:space="preserve">Desired State
(1-5)</t>
  </si>
  <si>
    <t xml:space="preserve">Gap Score</t>
  </si>
  <si>
    <t xml:space="preserve">  FINANCIAL STRUCTURE</t>
  </si>
  <si>
    <t xml:space="preserve">Financial Structure</t>
  </si>
  <si>
    <t xml:space="preserve">FIN-01</t>
  </si>
  <si>
    <t xml:space="preserve">Our firm operates primarily under a fee-based revenue model where the majority of our income is derived from advisory fees rather than transactional commissions.</t>
  </si>
  <si>
    <t xml:space="preserve">Revenue model alignment is foundational to partnership compatibility. Firms with fundamentally different revenue structures may face tension around client pricing, service bundling, and profitability expectations.</t>
  </si>
  <si>
    <t xml:space="preserve">FIN-02</t>
  </si>
  <si>
    <t xml:space="preserve">We maintain clear visibility into our profit margins at both the firm level and the individual advisor level, and we actively manage toward profitability targets.</t>
  </si>
  <si>
    <t xml:space="preserve">Profit margin transparency and discipline indicate operational maturity. Partners who differ significantly on financial visibility may struggle with shared resource allocation and investment decisions.</t>
  </si>
  <si>
    <t xml:space="preserve">FIN-03</t>
  </si>
  <si>
    <t xml:space="preserve">Our firm has diversified revenue streams beyond core advisory fees, including planning fees, consulting engagements, insurance solutions, or other complementary services.</t>
  </si>
  <si>
    <t xml:space="preserve">Revenue diversification reduces dependency on any single income source and can indicate strategic sophistication. Understanding a partner's revenue mix helps predict financial stability and growth trajectory.</t>
  </si>
  <si>
    <t xml:space="preserve">FIN-04</t>
  </si>
  <si>
    <t xml:space="preserve">We have a clearly defined compensation structure for advisors and staff that is transparent, competitive, and aligned with firm growth objectives.</t>
  </si>
  <si>
    <t xml:space="preserve">Compensation philosophy shapes firm culture and talent retention. Misalignment here can create significant friction during integration, particularly around equity participation and performance incentives.</t>
  </si>
  <si>
    <t xml:space="preserve">FIN-05</t>
  </si>
  <si>
    <t xml:space="preserve">Our firm maintains strong financial reserves and manages cash flow with enough runway to weather market downturns and invest in strategic growth initiatives.</t>
  </si>
  <si>
    <t xml:space="preserve">Financial stability and reserve discipline reflect long-term thinking. Partners with different cash management philosophies may disagree on investment timing, risk tolerance, and growth spending.</t>
  </si>
  <si>
    <t xml:space="preserve">FIN-06</t>
  </si>
  <si>
    <t xml:space="preserve">We regularly review and benchmark our pricing structure against industry standards to ensure we are delivering appropriate value relative to the fees our clients pay.</t>
  </si>
  <si>
    <t xml:space="preserve">Fee discipline and value consciousness indicate client-centered thinking. Firms that approach pricing differently may face challenges aligning on service-to-fee ratios in a combined entity.</t>
  </si>
  <si>
    <t xml:space="preserve">  ASSET MANAGEMENT</t>
  </si>
  <si>
    <t xml:space="preserve">Asset Management</t>
  </si>
  <si>
    <t xml:space="preserve">AM-01</t>
  </si>
  <si>
    <t xml:space="preserve">Our investment management approach leans primarily toward active portfolio management, where we seek to outperform benchmarks through research-driven security selection and tactical allocation.</t>
  </si>
  <si>
    <t xml:space="preserve">Investment philosophy is one of the most fundamental compatibility factors. Active and passive approaches require different infrastructure, staffing, and client communication strategies.</t>
  </si>
  <si>
    <t xml:space="preserve">AM-02</t>
  </si>
  <si>
    <t xml:space="preserve">We utilize a model-based portfolio construction approach where client portfolios are built from a defined set of investment models rather than individually selected securities.</t>
  </si>
  <si>
    <t xml:space="preserve">Model-based vs. individual portfolio construction reflects scalability philosophy. Firms that differ here may struggle with combined operations, compliance oversight, and performance reporting.</t>
  </si>
  <si>
    <t xml:space="preserve">AM-03</t>
  </si>
  <si>
    <t xml:space="preserve">Our firm incorporates values-based, ESG, or socially conscious investment options as a standard offering within our client portfolios when aligned with client preferences.</t>
  </si>
  <si>
    <t xml:space="preserve">Values-based investing reflects both client demand responsiveness and firm conviction. Partners who differ significantly here may face challenges aligning investment menus and client messaging.</t>
  </si>
  <si>
    <t xml:space="preserve">AM-04</t>
  </si>
  <si>
    <t xml:space="preserve">We maintain access to a broad investment platform that includes alternative investments, private placements, or non-traditional asset classes beyond standard equities and fixed income.</t>
  </si>
  <si>
    <t xml:space="preserve">Platform depth indicates sophistication of investment offering and client complexity. Partners with different platform access may need to reconcile custodial relationships and due diligence processes.</t>
  </si>
  <si>
    <t xml:space="preserve">AM-05</t>
  </si>
  <si>
    <t xml:space="preserve">Our firm has a dedicated research capability or investment committee that actively evaluates investment opportunities and monitors portfolio performance on an ongoing basis.</t>
  </si>
  <si>
    <t xml:space="preserve">Research infrastructure reflects investment seriousness and scale. Partners who differ on research commitment may face tension around investment decision-making authority and accountability.</t>
  </si>
  <si>
    <t xml:space="preserve">AM-06</t>
  </si>
  <si>
    <t xml:space="preserve">We have clearly documented investment processes, including an Investment Policy Statement template, rebalancing protocols, and performance benchmarking standards for all client accounts.</t>
  </si>
  <si>
    <t xml:space="preserve">Process documentation indicates operational discipline in investment management. Partners without aligned documentation standards may face regulatory and compliance integration challenges.</t>
  </si>
  <si>
    <t xml:space="preserve">  FINANCIAL PLANNING</t>
  </si>
  <si>
    <t xml:space="preserve">Financial Planning</t>
  </si>
  <si>
    <t xml:space="preserve">FP-01</t>
  </si>
  <si>
    <t xml:space="preserve">Our firm delivers comprehensive financial planning as a core service, integrating retirement projections, tax planning, estate considerations, and risk management into a unified client deliverable.</t>
  </si>
  <si>
    <t xml:space="preserve">Financial planning depth defines client value proposition. Partners who differ on planning comprehensiveness may struggle to deliver consistent client experiences across a combined practice.</t>
  </si>
  <si>
    <t xml:space="preserve">FP-02</t>
  </si>
  <si>
    <t xml:space="preserve">We incorporate behavioral finance principles into our planning process, helping clients recognize cognitive biases and emotional patterns that may affect their financial decision-making.</t>
  </si>
  <si>
    <t xml:space="preserve">Behavioral finance integration represents an emerging differentiator. Partners aligned here can create powerful combined offerings; those misaligned may debate resource allocation toward this capability.</t>
  </si>
  <si>
    <t xml:space="preserve">FP-03</t>
  </si>
  <si>
    <t xml:space="preserve">Our planning approach emphasizes goals-based outcomes, where each financial recommendation is tied to specific client life goals rather than purely investment return metrics.</t>
  </si>
  <si>
    <t xml:space="preserve">Goals-based planning reflects client-centered philosophy. Partners who differ on planning philosophy may struggle to standardize deliverables and client communication in a combined entity.</t>
  </si>
  <si>
    <t xml:space="preserve">FP-04</t>
  </si>
  <si>
    <t xml:space="preserve">We offer advanced planning services including business succession planning, charitable giving strategies, multi-generational wealth transfer, or executive compensation analysis.</t>
  </si>
  <si>
    <t xml:space="preserve">Advanced planning capability indicates service depth and client complexity. Partners with different planning capabilities may see an opportunity to expand combined offerings or may face capacity constraints.</t>
  </si>
  <si>
    <t xml:space="preserve">FP-05</t>
  </si>
  <si>
    <t xml:space="preserve">Our firm utilizes a structured cash flow-based planning methodology where we analyze client income, expenses, savings patterns, and spending behaviors as the foundation of all financial recommendations.</t>
  </si>
  <si>
    <t xml:space="preserve">Cash flow planning methodology reflects practical, client-accessible planning philosophy. Partners who differ may face challenges integrating planning software and client reporting standards.</t>
  </si>
  <si>
    <t xml:space="preserve">FP-06</t>
  </si>
  <si>
    <t xml:space="preserve">We actively incorporate insurance planning, including life, disability, long-term care, and property/casualty review, as a standard element of our comprehensive planning process.</t>
  </si>
  <si>
    <t xml:space="preserve">Insurance integration reflects holistic planning philosophy. Partners who differ on insurance inclusion may face product licensing, compliance, and revenue model alignment challenges.</t>
  </si>
  <si>
    <t xml:space="preserve">  INFRASTRUCTURE</t>
  </si>
  <si>
    <t xml:space="preserve">Infrastructure</t>
  </si>
  <si>
    <t xml:space="preserve">INF-01</t>
  </si>
  <si>
    <t xml:space="preserve">Our firm has dedicated operational support that handles account administration, trading operations, client onboarding, and service requests so advisors can focus primarily on client relationships.</t>
  </si>
  <si>
    <t xml:space="preserve">Operational support structure directly impacts advisor productivity and client experience. Partners who differ on support models may face significant workflow integration challenges.</t>
  </si>
  <si>
    <t xml:space="preserve">INF-02</t>
  </si>
  <si>
    <t xml:space="preserve">We maintain a structured employee benefits package including health insurance, retirement plans, and professional development resources that helps attract and retain quality team members.</t>
  </si>
  <si>
    <t xml:space="preserve">Benefits infrastructure reflects investment in human capital. Partners with different benefits philosophies may face compensation integration complexity and potential talent retention risk.</t>
  </si>
  <si>
    <t xml:space="preserve">INF-03</t>
  </si>
  <si>
    <t xml:space="preserve">Our firm operates within a framework that gives advisors meaningful independence in how they serve clients while maintaining firm-level oversight on compliance, branding, and operational standards.</t>
  </si>
  <si>
    <t xml:space="preserve">Independence vs. structure balance defines firm operating model. Partners with fundamentally different frameworks may face governance and decision-making authority challenges.</t>
  </si>
  <si>
    <t xml:space="preserve">INF-04</t>
  </si>
  <si>
    <t xml:space="preserve">We have established relationships with outsourcing partners for key operational functions such as compliance monitoring, portfolio accounting, performance reporting, or marketing support.</t>
  </si>
  <si>
    <t xml:space="preserve">Outsourcing strategy reflects operational philosophy and cost management approach. Partners with different outsourcing models may need to renegotiate vendor relationships and service agreements.</t>
  </si>
  <si>
    <t xml:space="preserve">INF-05</t>
  </si>
  <si>
    <t xml:space="preserve">Our firm has a clearly defined and documented client onboarding process that ensures consistent first impressions, thorough data gathering, and seamless account setup for every new relationship.</t>
  </si>
  <si>
    <t xml:space="preserve">Client onboarding consistency reflects operational discipline and client experience commitment. Partners who differ here may face service quality variance in a combined practice.</t>
  </si>
  <si>
    <t xml:space="preserve">INF-06</t>
  </si>
  <si>
    <t xml:space="preserve">We provide virtual or remote operational support capabilities that allow our team and clients to work effectively regardless of physical location or office presence.</t>
  </si>
  <si>
    <t xml:space="preserve">Virtual capability reflects modern operational readiness. Partners with different remote work philosophies may face culture and productivity expectation misalignment.</t>
  </si>
  <si>
    <t xml:space="preserve">  TECHNOLOGY</t>
  </si>
  <si>
    <t xml:space="preserve">Technology</t>
  </si>
  <si>
    <t xml:space="preserve">TECH-01</t>
  </si>
  <si>
    <t xml:space="preserve">Our firm operates with an integrated technology stack where our CRM, financial planning software, portfolio management system, and client portal share data with minimal manual entry.</t>
  </si>
  <si>
    <t xml:space="preserve">Technology integration level directly impacts efficiency, data accuracy, and client experience quality. Partners with different tech maturity may face significant systems integration costs.</t>
  </si>
  <si>
    <t xml:space="preserve">TECH-02</t>
  </si>
  <si>
    <t xml:space="preserve">We have a high-quality CRM system that is actively used by all team members for client relationship management, task tracking, workflow automation, and business intelligence reporting.</t>
  </si>
  <si>
    <t xml:space="preserve">CRM adoption and quality indicate operational discipline and data-driven management. Partners who differ on CRM usage may face challenges unifying client data and relationship history.</t>
  </si>
  <si>
    <t xml:space="preserve">TECH-03</t>
  </si>
  <si>
    <t xml:space="preserve">Our firm provides clients with a modern digital portal experience where they can access account information, documents, reports, and communication tools through a secure online interface.</t>
  </si>
  <si>
    <t xml:space="preserve">Client portal quality reflects technology commitment and client experience investment. Partners with different portal capabilities may need to standardize digital experiences post-integration.</t>
  </si>
  <si>
    <t xml:space="preserve">TECH-04</t>
  </si>
  <si>
    <t xml:space="preserve">We leverage technology for advisor-facing workflows including performance dashboards, compliance monitoring tools, and productivity applications that enhance daily operational efficiency.</t>
  </si>
  <si>
    <t xml:space="preserve">Advisor technology experience impacts productivity, job satisfaction, and competitive positioning. Partners with different advisor tool quality may face retention risk during integration.</t>
  </si>
  <si>
    <t xml:space="preserve">TECH-05</t>
  </si>
  <si>
    <t xml:space="preserve">Our technology systems support bidirectional data flow, meaning information entered in one system automatically updates across all connected platforms without duplicate data entry.</t>
  </si>
  <si>
    <t xml:space="preserve">Data bidirectionality indicates technology sophistication and operational efficiency. Partners with different data flow maturity may face data integrity challenges during integration.</t>
  </si>
  <si>
    <t xml:space="preserve">TECH-06</t>
  </si>
  <si>
    <t xml:space="preserve">We have a defined technology investment strategy with a regular evaluation cycle for upgrading, replacing, or adding tools to our technology ecosystem based on firm and client needs.</t>
  </si>
  <si>
    <t xml:space="preserve">Technology strategy discipline indicates forward-thinking operational management. Partners with different investment philosophies may disagree on timing and priority of tech spending.</t>
  </si>
  <si>
    <t xml:space="preserve">  STRATEGY</t>
  </si>
  <si>
    <t xml:space="preserve">Strategy</t>
  </si>
  <si>
    <t xml:space="preserve">STR-01</t>
  </si>
  <si>
    <t xml:space="preserve">Our firm engages in regular strategic planning sessions where we define specific growth objectives, resource allocation priorities, and measurable milestones with defined timelines.</t>
  </si>
  <si>
    <t xml:space="preserve">Strategic planning discipline indicates organizational maturity and intentional growth. Partners who differ on planning rigor may face tension around goal-setting and accountability.</t>
  </si>
  <si>
    <t xml:space="preserve">STR-02</t>
  </si>
  <si>
    <t xml:space="preserve">We have a clear and differentiated brand identity that communicates our unique value proposition, and we actively invest in maintaining and evolving that brand presence in our market.</t>
  </si>
  <si>
    <t xml:space="preserve">Brand identity clarity and investment indicate market positioning sophistication. Partners with strong but different brand identities may face challenging integration decisions.</t>
  </si>
  <si>
    <t xml:space="preserve">STR-03</t>
  </si>
  <si>
    <t xml:space="preserve">Our firm actively pursues digital marketing strategies including content creation, social media presence, website optimization, and search visibility to attract prospective clients.</t>
  </si>
  <si>
    <t xml:space="preserve">Digital marketing engagement indicates modern client acquisition approach. Partners with different marketing philosophies may need to align on combined marketing strategy and budget.</t>
  </si>
  <si>
    <t xml:space="preserve">STR-04</t>
  </si>
  <si>
    <t xml:space="preserve">We have established structured lead generation and client acquisition programs, including referral partnerships, center-of-influence networks, or institutional channel relationships.</t>
  </si>
  <si>
    <t xml:space="preserve">Client acquisition infrastructure indicates growth engine maturity. Partners who differ on acquisition strategy may see opportunity for combined growth or may face resource allocation debates.</t>
  </si>
  <si>
    <t xml:space="preserve">STR-05</t>
  </si>
  <si>
    <t xml:space="preserve">Our firm has defined a clear succession plan that addresses ownership transition, client relationship continuity, and leadership development to ensure long-term business sustainability.</t>
  </si>
  <si>
    <t xml:space="preserve">Succession planning indicates long-term strategic thinking and responsible business stewardship. Partners without aligned succession thinking may face future governance challenges.</t>
  </si>
  <si>
    <t xml:space="preserve">STR-06</t>
  </si>
  <si>
    <t xml:space="preserve">We actively evaluate opportunities for inorganic growth through acquisitions, mergers, or strategic partnerships as part of our ongoing business development strategy.</t>
  </si>
  <si>
    <t xml:space="preserve">Inorganic growth appetite indicates strategic ambition and deal capability. Partners with different growth appetites may face pace and risk tolerance misalignment.</t>
  </si>
  <si>
    <t xml:space="preserve">  CULTURE</t>
  </si>
  <si>
    <t xml:space="preserve">Culture</t>
  </si>
  <si>
    <t xml:space="preserve">CUL-01</t>
  </si>
  <si>
    <t xml:space="preserve">Our firm has a clearly articulated vision for the future that serves as a guiding framework for strategic decisions, team alignment, and long-term resource allocation.</t>
  </si>
  <si>
    <t xml:space="preserve">Shared vision clarity indicates organizational alignment and purpose-driven leadership. Partners with different visions may face fundamental direction disagreements.</t>
  </si>
  <si>
    <t xml:space="preserve">CUL-02</t>
  </si>
  <si>
    <t xml:space="preserve">We foster an entrepreneurial culture where team members are encouraged to take initiative, propose new ideas, and experiment with innovative approaches to serving clients.</t>
  </si>
  <si>
    <t xml:space="preserve">Entrepreneurial culture reflects innovation tolerance and empowerment philosophy. Partners with different cultures may face tension between structure and creative freedom.</t>
  </si>
  <si>
    <t xml:space="preserve">CUL-03</t>
  </si>
  <si>
    <t xml:space="preserve">Our firm prioritizes transparent and frequent internal communication, ensuring all team members have visibility into firm performance, strategic direction, and important decisions.</t>
  </si>
  <si>
    <t xml:space="preserve">Communication transparency indicates trust-based management and organizational health. Partners with different communication cultures may face information-sharing friction during integration.</t>
  </si>
  <si>
    <t xml:space="preserve">CUL-04</t>
  </si>
  <si>
    <t xml:space="preserve">We invest meaningfully in employee development through structured training programs, mentorship opportunities, professional certifications, and career path clarity for all team members.</t>
  </si>
  <si>
    <t xml:space="preserve">Development investment indicates human capital commitment. Partners with different development philosophies may face talent expectations and retention approach misalignment.</t>
  </si>
  <si>
    <t xml:space="preserve">CUL-05</t>
  </si>
  <si>
    <t xml:space="preserve">Our firm measures success not only through financial metrics but also through client impact measures such as satisfaction scores, retention rates, referral frequency, and planning completion rates.</t>
  </si>
  <si>
    <t xml:space="preserve">Holistic success measurement indicates client-centered culture. Partners who differ on success metrics may face goal-setting and performance evaluation challenges.</t>
  </si>
  <si>
    <t xml:space="preserve">CUL-06</t>
  </si>
  <si>
    <t xml:space="preserve">We have a strong performance-oriented culture where individual and team contributions are recognized, rewarded, and aligned with firm-level growth objectives.</t>
  </si>
  <si>
    <t xml:space="preserve">Performance culture reflects accountability and meritocracy philosophy. Partners with different performance management approaches may face compensation and recognition alignment challenges.</t>
  </si>
  <si>
    <t xml:space="preserve">  VALUES</t>
  </si>
  <si>
    <t xml:space="preserve">Values</t>
  </si>
  <si>
    <t xml:space="preserve">VAL-01</t>
  </si>
  <si>
    <t xml:space="preserve">Faith, purpose, or a values-driven mission plays a meaningful role in how our firm operates, the clients we serve, and the decisions we make as a leadership team.</t>
  </si>
  <si>
    <t xml:space="preserve">Values-driven operation reflects deep organizational identity. Partners who differ on the role of values in business may face fundamental philosophical compatibility challenges.</t>
  </si>
  <si>
    <t xml:space="preserve">VAL-02</t>
  </si>
  <si>
    <t xml:space="preserve">We place a high priority on work-life integration, maintaining healthy boundaries, and ensuring that our team members can sustain both professional excellence and personal wellbeing.</t>
  </si>
  <si>
    <t xml:space="preserve">Work-life philosophy shapes culture and retention. Partners with different boundary expectations may face team satisfaction and productivity approach misalignment.</t>
  </si>
  <si>
    <t xml:space="preserve">VAL-03</t>
  </si>
  <si>
    <t xml:space="preserve">Our firm actively engages in community impact, philanthropic giving, or social responsibility initiatives as an expression of our core values and commitment to making a positive difference.</t>
  </si>
  <si>
    <t xml:space="preserve">Community engagement reflects organizational character. Partners with different community investment philosophies may need to align on shared impact priorities.</t>
  </si>
  <si>
    <t xml:space="preserve">VAL-04</t>
  </si>
  <si>
    <t xml:space="preserve">Coaching, mentorship, and ongoing professional guidance are central to how we develop our advisors and business leaders, and we invest both time and resources into these growth relationships.</t>
  </si>
  <si>
    <t xml:space="preserve">Coaching investment indicates development culture and long-term thinking. Partners who differ on coaching value may face talent development approach misalignment.</t>
  </si>
  <si>
    <t xml:space="preserve">VAL-05</t>
  </si>
  <si>
    <t xml:space="preserve">We value diversity of thought, background, and experience within our team, and we actively seek to build an inclusive environment that welcomes different perspectives.</t>
  </si>
  <si>
    <t xml:space="preserve">Diversity commitment reflects modern organizational values. Partners with different inclusion philosophies may face culture integration challenges.</t>
  </si>
  <si>
    <t xml:space="preserve">VAL-06</t>
  </si>
  <si>
    <t xml:space="preserve">Building and maintaining deep, lasting relationships is a cornerstone of our firm culture — with clients, team members, strategic partners, and community stakeholders.</t>
  </si>
  <si>
    <t xml:space="preserve">Relationship depth reflects relational vs. transactional business philosophy. Partners who differ here may face client service approach and team culture misalignment.</t>
  </si>
  <si>
    <t xml:space="preserve">  BEHAVIORAL PROFILE</t>
  </si>
  <si>
    <t xml:space="preserve">Behavioral Profile</t>
  </si>
  <si>
    <t xml:space="preserve">BEH-01</t>
  </si>
  <si>
    <t xml:space="preserve">From a leadership perspective, our firm is primarily driven by a results-oriented, competitive mindset where decisive action and forward momentum are highly valued.</t>
  </si>
  <si>
    <t xml:space="preserve">Driver orientation indicates pace, decisiveness, and competitive intensity. Partners need to understand behavioral compatibility to predict leadership dynamics and decision-making friction.</t>
  </si>
  <si>
    <t xml:space="preserve">BEH-02</t>
  </si>
  <si>
    <t xml:space="preserve">We approach business decisions with a highly analytical, data-driven methodology where thorough research, risk assessment, and evidence-based reasoning guide our choices.</t>
  </si>
  <si>
    <t xml:space="preserve">Analytical orientation indicates process discipline and risk awareness. Partners who differ on analysis depth may face pace and decisiveness tension.</t>
  </si>
  <si>
    <t xml:space="preserve">BEH-03</t>
  </si>
  <si>
    <t xml:space="preserve">Our firm culture is characterized by a collaborative, relationship-centered approach where consensus-building, team harmony, and supportive communication are priorities.</t>
  </si>
  <si>
    <t xml:space="preserve">Amiable orientation indicates collaboration and harmony emphasis. Partners who differ may face communication style and conflict resolution challenges.</t>
  </si>
  <si>
    <t xml:space="preserve">BEH-04</t>
  </si>
  <si>
    <t xml:space="preserve">We operate with an expressive, visionary energy where big-picture thinking, creative problem-solving, and inspiring our team and clients are central to how we lead.</t>
  </si>
  <si>
    <t xml:space="preserve">Expressive orientation indicates vision-casting and inspirational leadership style. Partners who differ may face communication style and strategic planning approach misalignment.</t>
  </si>
  <si>
    <t xml:space="preserve">BEH-05</t>
  </si>
  <si>
    <t xml:space="preserve">Our firm demonstrates strong change orientation and adaptability, where we embrace evolving market conditions, regulatory changes, and client needs as opportunities rather than disruptions.</t>
  </si>
  <si>
    <t xml:space="preserve">Change orientation reflects adaptability and innovation tolerance. Partners who differ may face significant tension during integration when change is inevitable.</t>
  </si>
  <si>
    <t xml:space="preserve">BEH-06</t>
  </si>
  <si>
    <t xml:space="preserve">We maintain a hands-on management approach where leadership stays closely connected to daily operations, client interactions, and team performance on an ongoing basis.</t>
  </si>
  <si>
    <t xml:space="preserve">Management involvement level indicates control preference and delegation philosophy. Partners who differ may face governance and decision authority challenges.</t>
  </si>
  <si>
    <t xml:space="preserve">SCORING ENGINE — PRACTICE GAP ANALYSIS</t>
  </si>
  <si>
    <t xml:space="preserve">Automated calculations based on assessment responses</t>
  </si>
  <si>
    <t xml:space="preserve">Avg Current State</t>
  </si>
  <si>
    <t xml:space="preserve">Avg Desired State</t>
  </si>
  <si>
    <t xml:space="preserve">Avg Gap Score</t>
  </si>
  <si>
    <t xml:space="preserve">Category Alignment %</t>
  </si>
  <si>
    <t xml:space="preserve">Readiness Score (0-100)</t>
  </si>
  <si>
    <t xml:space="preserve">SWOT Classification</t>
  </si>
  <si>
    <t xml:space="preserve">OVERALL ASSESSMENT SCORES</t>
  </si>
  <si>
    <t xml:space="preserve">Overall Practice Alignment Score</t>
  </si>
  <si>
    <t xml:space="preserve">Overall Practice Readiness Score</t>
  </si>
  <si>
    <t xml:space="preserve">Overall Gap Score (Avg)</t>
  </si>
  <si>
    <t xml:space="preserve">Total Questions Answered</t>
  </si>
  <si>
    <t xml:space="preserve">Strengths Count</t>
  </si>
  <si>
    <t xml:space="preserve">Opportunities Count</t>
  </si>
  <si>
    <t xml:space="preserve">Threats Count</t>
  </si>
  <si>
    <t xml:space="preserve">Weaknesses Count</t>
  </si>
  <si>
    <t xml:space="preserve">SWOT NARRATIVE FEEDBACK — PRACTICE GAP ANALYSIS</t>
  </si>
  <si>
    <t xml:space="preserve">AI-ready narrative templates triggered by scoring thresholds</t>
  </si>
  <si>
    <t xml:space="preserve">SWOT Class</t>
  </si>
  <si>
    <t xml:space="preserve">Narrative Feedback</t>
  </si>
  <si>
    <t xml:space="preserve">STRENGTH</t>
  </si>
  <si>
    <t xml:space="preserve">Your financial structures are well aligned, indicating strong compatibility in revenue model, profitability management, and compensation philosophy. This alignment provides a solid economic foundation for partnership. We recommend formalizing shared financial reporting standards early in any integration process and establishing joint profitability targets that leverage the combined entity's scale advantages.</t>
  </si>
  <si>
    <t xml:space="preserve">OPPORTUNITY</t>
  </si>
  <si>
    <t xml:space="preserve">Your financial structures show promising alignment with room for optimization. The areas of agreement outweigh the gaps, suggesting that focused dialogue around pricing philosophy, margin expectations, and compensation harmonization could quickly close remaining differences. Consider establishing a joint financial review cadence to build shared visibility and trust around economic management.</t>
  </si>
  <si>
    <t xml:space="preserve">THREAT</t>
  </si>
  <si>
    <t xml:space="preserve">There are notable gaps in your financial structure alignment that warrant careful attention. Differences in revenue model philosophy, profitability expectations, or compensation approaches can create friction during integration. We recommend a structured financial compatibility workshop to surface specific differences and evaluate whether compromise positions are feasible before proceeding further.</t>
  </si>
  <si>
    <t xml:space="preserve">WEAKNESS</t>
  </si>
  <si>
    <t xml:space="preserve">Your financial structure alignment presents significant challenges. Fundamental differences in how you approach revenue, profitability, pricing, or compensation can undermine even the best-intentioned partnership. We recommend engaging a neutral financial advisor to evaluate whether structural differences can be bridged or represent incompatible business models.</t>
  </si>
  <si>
    <t xml:space="preserve">Your investment management philosophies and practices are highly compatible. This alignment in asset management approach, portfolio construction methodology, and research commitment creates a strong foundation for delivering consistent client outcomes in a combined practice. Focus on identifying the strongest elements from each firm's investment process to create an enhanced combined approach.</t>
  </si>
  <si>
    <t xml:space="preserve">Your asset management approaches show solid alignment with some productive differences that could strengthen a combined offering. The key is to identify where different investment perspectives complement rather than conflict. Consider establishing a combined investment committee framework that leverages the best research and portfolio construction capabilities from both firms.</t>
  </si>
  <si>
    <t xml:space="preserve">Meaningful differences exist in your asset management approaches. Investment philosophy misalignment can directly impact client experience, compliance requirements, and operational efficiency. We recommend a detailed investment process comparison to identify specific areas of divergence and evaluate whether a unified approach or dual-track model is more appropriate.</t>
  </si>
  <si>
    <t xml:space="preserve">Your asset management approaches show fundamental differences that require serious consideration. Investment philosophy is one of the hardest areas to compromise on because it directly affects client outcomes and firm identity. We recommend honest evaluation of whether these differences represent complementary strengths or incompatible convictions.</t>
  </si>
  <si>
    <t xml:space="preserve">Your financial planning approaches are well aligned, reflecting shared commitment to planning depth, methodology, and client deliverable quality. This compatibility enables a consistent and potentially enhanced client planning experience in a combined entity. Focus on identifying best-in-class planning tools and processes from each firm to create a unified planning framework.</t>
  </si>
  <si>
    <t xml:space="preserve">Your financial planning capabilities show meaningful alignment with opportunities to strengthen the combined offering. Differences in planning specialization or methodology can actually enhance the breadth of services available to clients. Consider mapping each firm's planning strengths to identify complementary capabilities that could differentiate the combined practice.</t>
  </si>
  <si>
    <t xml:space="preserve">Notable differences exist in your financial planning philosophies and capabilities. Planning methodology is a core client experience driver, and inconsistency here can confuse clients and dilute your value proposition. We recommend documenting each firm's planning process in detail and identifying specific integration points and potential friction areas.</t>
  </si>
  <si>
    <t xml:space="preserve">Your financial planning approaches show significant misalignment. When firms fundamentally differ on planning philosophy, depth, or methodology, it becomes difficult to deliver consistent client value. We recommend evaluating whether one firm's approach could be adopted as the standard or whether different planning tracks would be necessary.</t>
  </si>
  <si>
    <t xml:space="preserve">Your operational infrastructure and support models are highly compatible. Strong alignment in team structure, operational processes, and support capabilities creates excellent conditions for efficient integration. Focus on identifying operational best practices from each firm and establishing unified standard operating procedures that enhance the combined client experience.</t>
  </si>
  <si>
    <t xml:space="preserve">Your infrastructure alignment shows promising compatibility with optimization potential. The foundations are similar enough to integrate, and differences may represent opportunities to upgrade combined capabilities. Consider conducting an operational efficiency audit to identify where combined resources could create scale advantages and improved service delivery.</t>
  </si>
  <si>
    <t xml:space="preserve">There are meaningful gaps in your operational infrastructure alignment. Different approaches to team structure, support models, or operational processes can create significant integration complexity and cost. We recommend a detailed operational mapping exercise to quantify integration requirements and establish a realistic timeline for operational harmonization.</t>
  </si>
  <si>
    <t xml:space="preserve">Your operational infrastructure models show fundamental differences that present serious integration challenges. When firms operate with incompatible support structures, benefits systems, or workflow approaches, integration can become costly and disruptive. We recommend a thorough cost-benefit analysis of operational integration before proceeding.</t>
  </si>
  <si>
    <t xml:space="preserve">Your technology capabilities and philosophies are well aligned, creating favorable conditions for systems integration. Shared commitment to technology investment, data integration, and digital client experience enables a combined technology platform that enhances both advisor productivity and client engagement.</t>
  </si>
  <si>
    <t xml:space="preserve">Your technology alignment shows solid compatibility with opportunities for combined enhancement. While core philosophies align, differences in specific platforms or capabilities could actually strengthen the combined tech stack. Consider a joint technology assessment to identify where platform consolidation and capability expansion would deliver the most value.</t>
  </si>
  <si>
    <t xml:space="preserve">Notable technology gaps exist between your firms. Different technology platforms, integration maturity, or investment philosophies can create expensive and time-consuming systems migration challenges. We recommend a detailed technology infrastructure comparison and integration cost analysis before making partnership commitments.</t>
  </si>
  <si>
    <t xml:space="preserve">Your technology environments show significant incompatibility. Fundamental differences in technology maturity, platform choices, or investment commitment can make systems integration prohibitively expensive and disruptive. We recommend engaging a technology integration specialist to evaluate realistic migration paths and associated costs.</t>
  </si>
  <si>
    <t xml:space="preserve">Your strategic approaches are highly compatible, reflecting shared vision for growth, market positioning, and business development philosophy. This alignment enables a combined entity to move quickly on shared strategic priorities. Focus on establishing joint strategic planning sessions to leverage combined market intelligence and growth capabilities.</t>
  </si>
  <si>
    <t xml:space="preserve">Your strategic alignment shows promising compatibility with productive differences that could enhance combined market position. Different strategic strengths can complement each other when channeled effectively. Consider a joint strategic planning exercise to identify where combined capabilities create unique competitive advantages.</t>
  </si>
  <si>
    <t xml:space="preserve">Meaningful strategic differences exist between your firms. Different growth philosophies, market positioning, or business development approaches can create tension around resource allocation and priority-setting. We recommend a structured strategic alignment workshop to surface specific differences and evaluate compromise positions.</t>
  </si>
  <si>
    <t xml:space="preserve">Your strategic approaches show fundamental misalignment. When firms disagree on growth philosophy, market focus, or competitive positioning, it becomes difficult to establish shared priorities and allocate resources effectively. We recommend honest evaluation of whether strategic differences are bridgeable or represent fundamentally different business visions.</t>
  </si>
  <si>
    <t xml:space="preserve">Your firm cultures are highly compatible, creating an excellent foundation for partnership. Shared values around communication, development, performance, and client impact reduce integration friction and enable rapid team cohesion. Focus on identifying the cultural strengths from each firm that can define the combined entity's identity.</t>
  </si>
  <si>
    <t xml:space="preserve">Your cultural alignment shows meaningful compatibility with development opportunities. Cultural differences in a partnership can be healthy when they bring complementary strengths. Consider facilitating joint team experiences early in any integration process to build relationships and identify shared cultural values organically.</t>
  </si>
  <si>
    <t xml:space="preserve">Notable cultural gaps exist between your firms. Culture is often the hidden driver of partnership success or failure, and differences in communication style, development philosophy, or performance expectations can create ongoing friction. We recommend a facilitated cultural compatibility assessment with team members from both firms.</t>
  </si>
  <si>
    <t xml:space="preserve">Your firm cultures show significant misalignment. Cultural incompatibility is the most common reason partnerships fail, even when financial and strategic alignment exist. We strongly recommend investing in deep cultural due diligence including team-level conversations before making any partnership commitments.</t>
  </si>
  <si>
    <t xml:space="preserve">Your core values are deeply aligned, which is one of the strongest indicators of long-term partnership success. Shared commitment to faith, relationships, community impact, and professional development creates authentic connection that transcends business metrics. This values alignment is a significant competitive advantage in building trust with clients and team members.</t>
  </si>
  <si>
    <t xml:space="preserve">Your values show promising alignment with some areas for deeper exploration. Values compatibility often strengthens through intentional dialogue and shared experiences. Consider facilitating a values mapping exercise where leadership from both firms share personal and professional convictions to identify deeper alignment and productive differences.</t>
  </si>
  <si>
    <t xml:space="preserve">There are notable gaps in your values alignment that require careful consideration. Values misalignment can be subtle but corrosive, affecting decision-making, client relationships, and team satisfaction over time. We recommend honest, personal conversations between leadership teams about core convictions and non-negotiable principles.</t>
  </si>
  <si>
    <t xml:space="preserve">Your values show significant misalignment. Fundamental values differences are extremely difficult to bridge through compromise because they reflect deep convictions about purpose, priorities, and professional identity. We recommend careful evaluation of whether values differences are matters of degree or fundamental incompatibility.</t>
  </si>
  <si>
    <t xml:space="preserve">Your behavioral profiles are highly compatible, suggesting natural alignment in leadership style, decision-making pace, and team dynamics. Compatible behavioral patterns reduce communication friction and enable productive collaboration. Focus on identifying where your combined behavioral strengths create unique leadership capabilities.</t>
  </si>
  <si>
    <t xml:space="preserve">Your behavioral profiles show productive alignment with complementary differences. Behavioral diversity within a partnership can be a significant strength when properly understood and leveraged. Consider administering a structured behavioral assessment (DAAN framework) to create shared language for discussing leadership and communication dynamics.</t>
  </si>
  <si>
    <t xml:space="preserve">Meaningful behavioral differences exist between your leadership teams. Different decision-making speeds, communication styles, or management approaches can create daily friction in a combined practice. We recommend behavioral profiling for key leaders and facilitated discussion about how different styles can complement rather than conflict.</t>
  </si>
  <si>
    <t xml:space="preserve">Your behavioral profiles show significant misalignment. Fundamental behavioral incompatibility — such as mismatched pace, communication styles, or control preferences — can undermine even the most strategically sound partnership. We strongly recommend professional behavioral compatibility assessment before proceeding.</t>
  </si>
  <si>
    <t xml:space="preserve">5-VARIABLE RESPONSE NARRATIVES — BY ALIGNMENT LEVEL</t>
  </si>
  <si>
    <t xml:space="preserve">Variable 1 = Highest alignment (gap 0) → Variable 5 = Lowest alignment (gap 4)</t>
  </si>
  <si>
    <t xml:space="preserve">Variable</t>
  </si>
  <si>
    <t xml:space="preserve">Narrative Response</t>
  </si>
  <si>
    <t xml:space="preserve">Variable 1</t>
  </si>
  <si>
    <t xml:space="preserve">Exceptional alignment. Your financial structures are remarkably compatible — from revenue models to compensation philosophy. This level of economic alignment is uncommon and provides a powerful foundation for partnership. Continue to refine shared financial KPIs and establish transparent reporting rhythms.</t>
  </si>
  <si>
    <t xml:space="preserve">Variable 2</t>
  </si>
  <si>
    <t xml:space="preserve">Strong alignment. Your financial approaches are well-matched with minor philosophical differences that healthy dialogue can resolve. Focus on clarifying expectations around margin targets, reinvestment priorities, and compensation evolution as you explore the partnership path.</t>
  </si>
  <si>
    <t xml:space="preserve">Variable 3</t>
  </si>
  <si>
    <t xml:space="preserve">Moderate alignment. There are areas of financial agreement alongside meaningful differences. Neither your revenue model approach nor your profitability expectations are fully aligned. Invest time in understanding the 'why' behind each firm's financial decisions before evaluating compatibility.</t>
  </si>
  <si>
    <t xml:space="preserve">Variable 4</t>
  </si>
  <si>
    <t xml:space="preserve">Limited alignment. Significant differences exist in your financial structure philosophies. Areas like compensation design, pricing strategy, or profitability expectations may require substantial compromise from one or both parties. Consider whether these gaps are bridgeable through negotiation.</t>
  </si>
  <si>
    <t xml:space="preserve">Variable 5</t>
  </si>
  <si>
    <t xml:space="preserve">Minimal alignment. Your financial structures differ fundamentally. When firms disagree on how money flows — revenue models, fee structures, compensation, and profitability standards — it creates friction that permeates every operational decision. Honest assessment of these differences is essential before proceeding.</t>
  </si>
  <si>
    <t xml:space="preserve">Exceptional alignment. You share a deep compatibility in investment philosophy, process, and commitment. This is rare and valuable — your clients would benefit from the combined investment expertise. Focus on documenting a unified investment framework that captures the best of both approaches.</t>
  </si>
  <si>
    <t xml:space="preserve">Strong alignment. Your investment management approaches are well-matched with productive differences worth exploring. These distinctions may actually strengthen a combined offering. Discuss specific investment process elements to identify where collaboration creates enhanced capability.</t>
  </si>
  <si>
    <t xml:space="preserve">Moderate alignment. Your investment approaches share some common ground but diverge in meaningful ways. Active vs. passive leanings, model construction preferences, or research commitment may differ. Explore whether a dual-track approach or philosophical compromise could work.</t>
  </si>
  <si>
    <t xml:space="preserve">Limited alignment. Notable investment philosophy differences exist. When firms disagree on fundamental investment approach, it affects portfolio construction, client communication, performance expectations, and compliance requirements. Evaluate honestly whether unified investment management is feasible.</t>
  </si>
  <si>
    <t xml:space="preserve">Minimal alignment. Your investment management philosophies are fundamentally different. This is one of the most difficult areas to compromise on because it directly impacts client outcomes and firm identity. Carefully consider whether these differences represent a dealbreaker.</t>
  </si>
  <si>
    <t xml:space="preserve">Exceptional alignment. Your planning philosophies, methodologies, and depth commitments are remarkably compatible. This creates an opportunity for a combined planning practice that delivers industry-leading client value. Focus on identifying the most effective planning tools and processes from each firm.</t>
  </si>
  <si>
    <t xml:space="preserve">Strong alignment. Your financial planning approaches share meaningful common ground. Where differences exist — perhaps in planning depth, specialization focus, or technology preferences — they likely represent complementary strengths rather than conflicts. Explore integration of planning capabilities.</t>
  </si>
  <si>
    <t xml:space="preserve">Moderate alignment. Your planning philosophies overlap in some areas but diverge in others. Questions around planning depth, behavioral integration, or advanced planning services may reveal different priorities. Invest time in understanding what drives each firm's planning approach.</t>
  </si>
  <si>
    <t xml:space="preserve">Limited alignment. Meaningful planning philosophy differences exist. When firms disagree on the role, depth, or delivery of financial planning, it creates inconsistency in the client experience. Evaluate whether one firm's planning approach could serve as the combined standard.</t>
  </si>
  <si>
    <t xml:space="preserve">Minimal alignment. Your financial planning approaches differ fundamentally. Planning methodology is a core client experience driver, and this level of misalignment would make delivering consistent client value extremely challenging. Consider whether planning philosophy differences are bridgeable.</t>
  </si>
  <si>
    <t xml:space="preserve">Exceptional alignment. Your operational infrastructure and support models are highly compatible. This alignment in team structure, processes, and support philosophy creates ideal conditions for efficient operational integration. Focus on establishing unified SOPs that leverage the best practices from both firms.</t>
  </si>
  <si>
    <t xml:space="preserve">Strong alignment. Your infrastructure approaches show solid compatibility with manageable differences. Operational integration will require attention to specific process and system details, but the philosophical alignment is strong. Create a detailed operational integration plan early in the partnership process.</t>
  </si>
  <si>
    <t xml:space="preserve">Moderate alignment. Your infrastructure models share foundational similarities but differ in execution. Team structure, benefits philosophy, or operational process differences may require compromise. Conduct a detailed operational comparison to quantify integration requirements and timeline.</t>
  </si>
  <si>
    <t xml:space="preserve">Limited alignment. Notable infrastructure gaps exist. When firms operate with different support models, benefits structures, or workflow approaches, integration becomes complex and potentially disruptive. Evaluate the cost and timeline of operational harmonization carefully.</t>
  </si>
  <si>
    <t xml:space="preserve">Minimal alignment. Your operational infrastructure models are fundamentally different. This level of operational incompatibility can make integration prohibitively expensive and disruptive to both teams and clients. Consider whether a looser affiliation model might be more appropriate than full integration.</t>
  </si>
  <si>
    <t xml:space="preserve">Exceptional alignment. Your technology capabilities, investment philosophies, and integration maturity are remarkably compatible. This creates an efficient path to systems consolidation and an enhanced digital experience for advisors and clients alike. Focus on platform rationalization and capability enhancement.</t>
  </si>
  <si>
    <t xml:space="preserve">Strong alignment. Your technology approaches show solid compatibility. While specific platform choices may differ, shared commitment to integration, data quality, and digital experience creates a strong foundation. Conduct a joint technology assessment to identify optimal consolidation strategy.</t>
  </si>
  <si>
    <t xml:space="preserve">Moderate alignment. Your technology philosophies share some common ground but your platforms and maturity levels may differ. Technology integration is often the most visible and expensive element of partnership. Develop a realistic technology migration roadmap with honest cost projections.</t>
  </si>
  <si>
    <t xml:space="preserve">Limited alignment. Significant technology gaps exist. Different platforms, integration maturity, or investment commitment can make systems migration complex and costly. Engage a technology integration specialist to evaluate realistic migration paths before committing to partnership.</t>
  </si>
  <si>
    <t xml:space="preserve">Minimal alignment. Your technology environments are fundamentally incompatible. When firms operate on vastly different technology platforms with different investment philosophies, integration can become a multi-year, high-cost initiative. Honestly evaluate whether technology differences represent a partnership obstacle.</t>
  </si>
  <si>
    <t xml:space="preserve">Exceptional alignment. Your strategic visions, growth philosophies, and business development approaches are remarkably compatible. This level of strategic alignment enables a combined entity to move quickly and decisively on shared priorities. Establish joint strategic planning sessions immediately to capitalize on combined capabilities.</t>
  </si>
  <si>
    <t xml:space="preserve">Strong alignment. Your strategic approaches show meaningful compatibility with productive differences. These distinctions likely represent complementary strengths that could enhance the combined entity's competitive position. Focus on identifying where different strategic perspectives create enhanced market opportunity.</t>
  </si>
  <si>
    <t xml:space="preserve">Moderate alignment. Your strategic philosophies overlap in some areas but diverge in others. Growth pace, market focus, or business development approach differences may surface during detailed planning discussions. Invest time in aligning on 3-year strategic priorities before proceeding.</t>
  </si>
  <si>
    <t xml:space="preserve">Limited alignment. Meaningful strategic differences exist. When firms disagree on growth philosophy, competitive positioning, or resource allocation priorities, it creates ongoing decision-making friction. Evaluate whether strategic compromise positions are feasible and sustainable.</t>
  </si>
  <si>
    <t xml:space="preserve">Minimal alignment. Your strategic approaches are fundamentally different. When firms have incompatible visions for growth, market positioning, and competitive strategy, partnership creates ongoing tension rather than synergy. Consider whether strategic differences reflect irreconcilable business visions.</t>
  </si>
  <si>
    <t xml:space="preserve">Exceptional alignment. Your firm cultures are deeply compatible across communication, development, performance, and client service dimensions. This cultural harmony is the strongest predictor of partnership success. Focus on identifying cultural champions from both firms who can guide integration.</t>
  </si>
  <si>
    <t xml:space="preserve">Strong alignment. Your cultures share meaningful common ground with healthy differences that could enrich a combined entity. Cultural integration benefits from intentional early relationship-building between teams. Plan joint team experiences to build trust and identify shared cultural values.</t>
  </si>
  <si>
    <t xml:space="preserve">Moderate alignment. Your cultures share some foundational similarities but differ in execution. Communication style, development investment, or performance management differences may require deliberate cultural bridging. Facilitate honest cultural conversations between leadership teams.</t>
  </si>
  <si>
    <t xml:space="preserve">Limited alignment. Notable cultural gaps exist. Culture is often the hidden driver of partnership failure, and these differences — whether in communication transparency, development philosophy, or performance expectations — will create daily friction. Invest in professional cultural compatibility assessment.</t>
  </si>
  <si>
    <t xml:space="preserve">Minimal alignment. Your firm cultures are fundamentally different. Cultural incompatibility is the number one predictor of partnership failure, even when financial and strategic metrics suggest compatibility. We strongly recommend extensive cultural due diligence before proceeding.</t>
  </si>
  <si>
    <t xml:space="preserve">Exceptional alignment. Your core values are deeply compatible, reflecting shared convictions about faith, purpose, relationships, and professional responsibility. This values alignment is the most authentic predictor of long-term partnership success. Celebrate this alignment and let shared values guide integration decisions.</t>
  </si>
  <si>
    <t xml:space="preserve">Strong alignment. Your values show meaningful compatibility with nuanced differences that honest dialogue can clarify. Values alignment strengthens through shared experiences and transparent conversations about convictions and priorities. Create space for personal values discussions between leadership teams.</t>
  </si>
  <si>
    <t xml:space="preserve">Moderate alignment. Your values overlap in some areas but differ in others. Questions around the role of faith, community impact, work-life philosophy, or diversity commitment may reveal different priorities. Explore whether differences reflect matters of degree or fundamental conviction.</t>
  </si>
  <si>
    <t xml:space="preserve">Limited alignment. Notable values gaps exist. Values misalignment affects everything from daily decision-making to client relationships and team culture. When core convictions differ significantly, compromise often feels inauthentic. Evaluate honestly whether values differences are matters of priority or principle.</t>
  </si>
  <si>
    <t xml:space="preserve">Minimal alignment. Your core values are fundamentally different. Values incompatibility is the hardest gap to bridge because it reflects deep personal and organizational convictions. We recommend transparent conversation about non-negotiable principles before investing further in the partnership evaluation.</t>
  </si>
  <si>
    <t xml:space="preserve">Exceptional alignment. Your behavioral profiles are remarkably compatible, suggesting natural chemistry in leadership dynamics, communication style, and decision-making approach. This behavioral harmony reduces friction and enables productive collaboration from day one. Focus on leveraging combined behavioral strengths.</t>
  </si>
  <si>
    <t xml:space="preserve">Strong alignment. Your behavioral profiles show productive compatibility with complementary differences. Behavioral diversity within a partnership is actually a strength when properly understood. Consider formal behavioral profiling to create shared language for discussing leadership and communication dynamics.</t>
  </si>
  <si>
    <t xml:space="preserve">Moderate alignment. Your behavioral profiles share some patterns but differ in others. Decision-making pace, communication directness, or conflict resolution style may diverge. Understanding these differences through structured behavioral assessment (DAAN framework) can transform potential friction into productive complementarity.</t>
  </si>
  <si>
    <t xml:space="preserve">Limited alignment. Meaningful behavioral differences exist. Different leadership styles, decision-making speeds, or communication preferences create daily interaction challenges. Professional behavioral compatibility assessment with facilitated discussion is recommended before proceeding.</t>
  </si>
  <si>
    <t xml:space="preserve">Minimal alignment. Your behavioral profiles show fundamental incompatibility. When leaders differ drastically in pace, directness, collaboration style, or control preferences, the daily experience of partnership becomes exhausting rather than energizing. Behavioral compatibility assessment is essential.</t>
  </si>
  <si>
    <t xml:space="preserve">Instructions &amp; Methodology Guide</t>
  </si>
  <si>
    <t xml:space="preserve">PURPOSE</t>
  </si>
  <si>
    <t xml:space="preserve">This assessment measures alignment between a financial advisory firm's current operational reality and its desired future state across nine critical practice dimensions. The resulting gap analysis identifies specific areas of strength, opportunity, and concern that inform partnership compatibility and strategic development recommendations.</t>
  </si>
  <si>
    <t xml:space="preserve">HOW IT WORKS</t>
  </si>
  <si>
    <t xml:space="preserve">1. Each question asks you to rate a statement about your firm's practices on a scale of 1 to 5.</t>
  </si>
  <si>
    <t xml:space="preserve">2. You provide TWO ratings for each statement:</t>
  </si>
  <si>
    <t xml:space="preserve">   • Current State: How accurately does this statement describe your firm TODAY?</t>
  </si>
  <si>
    <t xml:space="preserve">   • Desired State: How much do you WANT this statement to be true of your firm?</t>
  </si>
  <si>
    <t xml:space="preserve">3. The Gap Score is automatically calculated as the absolute difference between your desired and current state.</t>
  </si>
  <si>
    <t xml:space="preserve">RESPONSE SCALE</t>
  </si>
  <si>
    <t xml:space="preserve">1 = Not at all like our firm — This statement does not describe our firm at all</t>
  </si>
  <si>
    <t xml:space="preserve">2 = Not much like our firm — This statement describes our firm only slightly</t>
  </si>
  <si>
    <t xml:space="preserve">3 = Somewhat like our firm — This statement partially describes our firm</t>
  </si>
  <si>
    <t xml:space="preserve">4 = Mostly like our firm — This statement largely describes our firm</t>
  </si>
  <si>
    <t xml:space="preserve">5 = Exactly like our firm — This statement perfectly describes our firm</t>
  </si>
  <si>
    <t xml:space="preserve">SCORING METHODOLOGY</t>
  </si>
  <si>
    <t xml:space="preserve">• Gap Score: Absolute difference between Desired State and Current State (0-4 range)</t>
  </si>
  <si>
    <t xml:space="preserve">• Category Alignment %: (1 - Average Gap / 4) × 100 — Measures how closely current state matches desired state</t>
  </si>
  <si>
    <t xml:space="preserve">• Readiness Score: Average Current State / 5 × 100 — Measures current capability independent of aspiration</t>
  </si>
  <si>
    <t xml:space="preserve">SWOT CLASSIFICATION THRESHOLDS</t>
  </si>
  <si>
    <t xml:space="preserve">• STRENGTH: Category Alignment ≥ 90% — Highly aligned, minimal gap between current and desired state</t>
  </si>
  <si>
    <t xml:space="preserve">• OPPORTUNITY: Category Alignment 75-89% — Well aligned with room for growth</t>
  </si>
  <si>
    <t xml:space="preserve">• THREAT: Category Alignment 60-74% — Meaningful gaps exist that require attention</t>
  </si>
  <si>
    <t xml:space="preserve">• WEAKNESS: Category Alignment &lt; 60% — Significant gaps that may indicate fundamental misalignment</t>
  </si>
  <si>
    <t xml:space="preserve">5-VARIABLE RESPONSE SYSTEM</t>
  </si>
  <si>
    <t xml:space="preserve">For compatibility analysis (two-party assessments), responses from both parties are compared:</t>
  </si>
  <si>
    <t xml:space="preserve">• Variable 1: Gap of 0 — Perfect alignment between both parties</t>
  </si>
  <si>
    <t xml:space="preserve">• Variable 2: Gap of 1 — Strong alignment with minor differences</t>
  </si>
  <si>
    <t xml:space="preserve">• Variable 3: Gap of 2 — Moderate alignment requiring exploration</t>
  </si>
  <si>
    <t xml:space="preserve">• Variable 4: Gap of 3 — Limited alignment requiring serious consideration</t>
  </si>
  <si>
    <t xml:space="preserve">• Variable 5: Gap of 4 — Minimal alignment suggesting fundamental difference</t>
  </si>
  <si>
    <t xml:space="preserve">ASSESSMENT DIMENSIONS (9 DNA Categories)</t>
  </si>
  <si>
    <t xml:space="preserve">1. Financial Structure — Revenue model, profitability, compensation, pricing</t>
  </si>
  <si>
    <t xml:space="preserve">2. Asset Management — Investment philosophy, portfolio construction, research</t>
  </si>
  <si>
    <t xml:space="preserve">3. Financial Planning — Planning methodology, depth, specialization</t>
  </si>
  <si>
    <t xml:space="preserve">4. Infrastructure — Operations, support, team structure, benefits</t>
  </si>
  <si>
    <t xml:space="preserve">5. Technology — Tech stack, CRM, portals, data integration</t>
  </si>
  <si>
    <t xml:space="preserve">6. Strategy — Strategic planning, growth, branding, business development</t>
  </si>
  <si>
    <t xml:space="preserve">7. Culture — Vision, entrepreneurship, communication, development, performance</t>
  </si>
  <si>
    <t xml:space="preserve">8. Values — Faith, work-life, community, coaching, diversity, relationships</t>
  </si>
  <si>
    <t xml:space="preserve">9. Behavioral Profile — Driver, analytical, amiable, expressive, adaptability, management</t>
  </si>
  <si>
    <t xml:space="preserve">NOTES</t>
  </si>
  <si>
    <t xml:space="preserve">• Blue-colored cells indicate input fields — enter your 1-5 rating in these cells</t>
  </si>
  <si>
    <t xml:space="preserve">• Yellow-highlighted cells contain calculated scores — do not edit these</t>
  </si>
  <si>
    <t xml:space="preserve">• The Scoring Engine sheet calculates all dimension and overall scores automatically</t>
  </si>
  <si>
    <t xml:space="preserve">• SWOT Narratives and Response Variables sheets contain AI-ready feedback templates</t>
  </si>
  <si>
    <t xml:space="preserve">• This assessment is designed for both self-evaluation and two-party compatibility analysis</t>
  </si>
</sst>
</file>

<file path=xl/styles.xml><?xml version="1.0" encoding="utf-8"?>
<styleSheet xmlns="http://schemas.openxmlformats.org/spreadsheetml/2006/main">
  <numFmts count="3">
    <numFmt numFmtId="164" formatCode="General"/>
    <numFmt numFmtId="165" formatCode="0.0"/>
    <numFmt numFmtId="166" formatCode="0.0\%"/>
  </numFmts>
  <fonts count="18">
    <font>
      <sz val="11"/>
      <color theme="1"/>
      <name val="Calibri"/>
      <family val="2"/>
      <charset val="1"/>
    </font>
    <font>
      <sz val="10"/>
      <name val="Arial"/>
      <family val="0"/>
    </font>
    <font>
      <sz val="10"/>
      <name val="Arial"/>
      <family val="0"/>
    </font>
    <font>
      <sz val="10"/>
      <name val="Arial"/>
      <family val="0"/>
    </font>
    <font>
      <b val="true"/>
      <sz val="14"/>
      <color rgb="FF1B3A5C"/>
      <name val="Arial"/>
      <family val="0"/>
      <charset val="1"/>
    </font>
    <font>
      <i val="true"/>
      <sz val="10"/>
      <color rgb="FF666666"/>
      <name val="Arial"/>
      <family val="0"/>
      <charset val="1"/>
    </font>
    <font>
      <i val="true"/>
      <sz val="9"/>
      <color rgb="FF444444"/>
      <name val="Arial"/>
      <family val="0"/>
      <charset val="1"/>
    </font>
    <font>
      <b val="true"/>
      <sz val="12"/>
      <color rgb="FFFFFFFF"/>
      <name val="Arial"/>
      <family val="0"/>
      <charset val="1"/>
    </font>
    <font>
      <b val="true"/>
      <sz val="11"/>
      <color rgb="FF1B3A5C"/>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2E7D32"/>
      <name val="Arial"/>
      <family val="0"/>
      <charset val="1"/>
    </font>
    <font>
      <b val="true"/>
      <sz val="10"/>
      <color rgb="FF1565C0"/>
      <name val="Arial"/>
      <family val="0"/>
      <charset val="1"/>
    </font>
    <font>
      <b val="true"/>
      <sz val="10"/>
      <color rgb="FFE65100"/>
      <name val="Arial"/>
      <family val="0"/>
      <charset val="1"/>
    </font>
    <font>
      <b val="true"/>
      <sz val="10"/>
      <color rgb="FFB71C1C"/>
      <name val="Arial"/>
      <family val="0"/>
      <charset val="1"/>
    </font>
    <font>
      <i val="true"/>
      <sz val="11"/>
      <color rgb="FF666666"/>
      <name val="Arial"/>
      <family val="0"/>
      <charset val="1"/>
    </font>
    <font>
      <b val="true"/>
      <sz val="12"/>
      <color rgb="FF1B3A5C"/>
      <name val="Arial"/>
      <family val="0"/>
      <charset val="1"/>
    </font>
  </fonts>
  <fills count="7">
    <fill>
      <patternFill patternType="none"/>
    </fill>
    <fill>
      <patternFill patternType="gray125"/>
    </fill>
    <fill>
      <patternFill patternType="solid">
        <fgColor rgb="FF1B3A5C"/>
        <bgColor rgb="FF444444"/>
      </patternFill>
    </fill>
    <fill>
      <patternFill patternType="solid">
        <fgColor rgb="FFE8F4E8"/>
        <bgColor rgb="FFF0F8FF"/>
      </patternFill>
    </fill>
    <fill>
      <patternFill patternType="solid">
        <fgColor rgb="FFF0F8FF"/>
        <bgColor rgb="FFE8F4E8"/>
      </patternFill>
    </fill>
    <fill>
      <patternFill patternType="solid">
        <fgColor rgb="FFFFF3CD"/>
        <bgColor rgb="FFE8F4E8"/>
      </patternFill>
    </fill>
    <fill>
      <patternFill patternType="solid">
        <fgColor rgb="FFD5E8F0"/>
        <bgColor rgb="FFE8F4E8"/>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B1FA2"/>
      <rgbColor rgb="FF008080"/>
      <rgbColor rgb="FFCCCCCC"/>
      <rgbColor rgb="FF808080"/>
      <rgbColor rgb="FF9999FF"/>
      <rgbColor rgb="FF993366"/>
      <rgbColor rgb="FFFFF3CD"/>
      <rgbColor rgb="FFD5E8F0"/>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E8F4E8"/>
      <rgbColor rgb="FFF0F8FF"/>
      <rgbColor rgb="FFFFFF99"/>
      <rgbColor rgb="FF99CCFF"/>
      <rgbColor rgb="FFFF99CC"/>
      <rgbColor rgb="FFCC99FF"/>
      <rgbColor rgb="FFFFCC99"/>
      <rgbColor rgb="FF3366FF"/>
      <rgbColor rgb="FF33CCCC"/>
      <rgbColor rgb="FF99CC00"/>
      <rgbColor rgb="FFFFCC00"/>
      <rgbColor rgb="FFFF9900"/>
      <rgbColor rgb="FFE65100"/>
      <rgbColor rgb="FF666666"/>
      <rgbColor rgb="FF969696"/>
      <rgbColor rgb="FF1B3A5C"/>
      <rgbColor rgb="FF2E7D32"/>
      <rgbColor rgb="FF003300"/>
      <rgbColor rgb="FF333300"/>
      <rgbColor rgb="FFB71C1C"/>
      <rgbColor rgb="FF993366"/>
      <rgbColor rgb="FF455A64"/>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A5C"/>
    <pageSetUpPr fitToPage="false"/>
  </sheetPr>
  <dimension ref="A1:H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8"/>
    <col collapsed="false" customWidth="true" hidden="false" outlineLevel="0" max="4" min="4" style="0" width="55"/>
    <col collapsed="false" customWidth="true" hidden="false" outlineLevel="0" max="5" min="5" style="0" width="50"/>
    <col collapsed="false" customWidth="true" hidden="false" outlineLevel="0" max="8" min="6" style="0" width="18"/>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4" customFormat="false" ht="26.85" hidden="false" customHeight="false" outlineLevel="0" collapsed="false">
      <c r="A4" s="4" t="s">
        <v>3</v>
      </c>
      <c r="B4" s="4" t="s">
        <v>4</v>
      </c>
      <c r="C4" s="4" t="s">
        <v>5</v>
      </c>
      <c r="D4" s="4" t="s">
        <v>6</v>
      </c>
      <c r="E4" s="4" t="s">
        <v>7</v>
      </c>
      <c r="F4" s="4" t="s">
        <v>8</v>
      </c>
      <c r="G4" s="4" t="s">
        <v>9</v>
      </c>
      <c r="H4" s="4" t="s">
        <v>10</v>
      </c>
    </row>
    <row r="5" customFormat="false" ht="24.75" hidden="false" customHeight="true" outlineLevel="0" collapsed="false">
      <c r="A5" s="5" t="s">
        <v>11</v>
      </c>
      <c r="B5" s="5"/>
      <c r="C5" s="5"/>
      <c r="D5" s="5"/>
      <c r="E5" s="5"/>
      <c r="F5" s="5"/>
      <c r="G5" s="5"/>
      <c r="H5" s="5"/>
    </row>
    <row r="6" customFormat="false" ht="79.5" hidden="false" customHeight="true" outlineLevel="0" collapsed="false">
      <c r="A6" s="6" t="n">
        <v>1</v>
      </c>
      <c r="B6" s="7" t="s">
        <v>12</v>
      </c>
      <c r="C6" s="6" t="s">
        <v>13</v>
      </c>
      <c r="D6" s="8" t="s">
        <v>14</v>
      </c>
      <c r="E6" s="8" t="s">
        <v>15</v>
      </c>
      <c r="F6" s="9"/>
      <c r="G6" s="9"/>
      <c r="H6" s="10" t="str">
        <f aca="false">IF(AND(F6&lt;&gt;"",G6&lt;&gt;""),ABS(G6-F6),"")</f>
        <v/>
      </c>
    </row>
    <row r="7" customFormat="false" ht="79.5" hidden="false" customHeight="true" outlineLevel="0" collapsed="false">
      <c r="A7" s="6" t="n">
        <v>2</v>
      </c>
      <c r="B7" s="7" t="s">
        <v>12</v>
      </c>
      <c r="C7" s="6" t="s">
        <v>16</v>
      </c>
      <c r="D7" s="8" t="s">
        <v>17</v>
      </c>
      <c r="E7" s="8" t="s">
        <v>18</v>
      </c>
      <c r="F7" s="9"/>
      <c r="G7" s="9"/>
      <c r="H7" s="10" t="str">
        <f aca="false">IF(AND(F7&lt;&gt;"",G7&lt;&gt;""),ABS(G7-F7),"")</f>
        <v/>
      </c>
    </row>
    <row r="8" customFormat="false" ht="79.5" hidden="false" customHeight="true" outlineLevel="0" collapsed="false">
      <c r="A8" s="6" t="n">
        <v>3</v>
      </c>
      <c r="B8" s="7" t="s">
        <v>12</v>
      </c>
      <c r="C8" s="6" t="s">
        <v>19</v>
      </c>
      <c r="D8" s="8" t="s">
        <v>20</v>
      </c>
      <c r="E8" s="8" t="s">
        <v>21</v>
      </c>
      <c r="F8" s="9"/>
      <c r="G8" s="9"/>
      <c r="H8" s="10" t="str">
        <f aca="false">IF(AND(F8&lt;&gt;"",G8&lt;&gt;""),ABS(G8-F8),"")</f>
        <v/>
      </c>
    </row>
    <row r="9" customFormat="false" ht="79.5" hidden="false" customHeight="true" outlineLevel="0" collapsed="false">
      <c r="A9" s="6" t="n">
        <v>4</v>
      </c>
      <c r="B9" s="7" t="s">
        <v>12</v>
      </c>
      <c r="C9" s="6" t="s">
        <v>22</v>
      </c>
      <c r="D9" s="8" t="s">
        <v>23</v>
      </c>
      <c r="E9" s="8" t="s">
        <v>24</v>
      </c>
      <c r="F9" s="9"/>
      <c r="G9" s="9"/>
      <c r="H9" s="10" t="str">
        <f aca="false">IF(AND(F9&lt;&gt;"",G9&lt;&gt;""),ABS(G9-F9),"")</f>
        <v/>
      </c>
    </row>
    <row r="10" customFormat="false" ht="79.5" hidden="false" customHeight="true" outlineLevel="0" collapsed="false">
      <c r="A10" s="6" t="n">
        <v>5</v>
      </c>
      <c r="B10" s="7" t="s">
        <v>12</v>
      </c>
      <c r="C10" s="6" t="s">
        <v>25</v>
      </c>
      <c r="D10" s="8" t="s">
        <v>26</v>
      </c>
      <c r="E10" s="8" t="s">
        <v>27</v>
      </c>
      <c r="F10" s="9"/>
      <c r="G10" s="9"/>
      <c r="H10" s="10" t="str">
        <f aca="false">IF(AND(F10&lt;&gt;"",G10&lt;&gt;""),ABS(G10-F10),"")</f>
        <v/>
      </c>
    </row>
    <row r="11" customFormat="false" ht="79.5" hidden="false" customHeight="true" outlineLevel="0" collapsed="false">
      <c r="A11" s="6" t="n">
        <v>6</v>
      </c>
      <c r="B11" s="7" t="s">
        <v>12</v>
      </c>
      <c r="C11" s="6" t="s">
        <v>28</v>
      </c>
      <c r="D11" s="8" t="s">
        <v>29</v>
      </c>
      <c r="E11" s="8" t="s">
        <v>30</v>
      </c>
      <c r="F11" s="9"/>
      <c r="G11" s="9"/>
      <c r="H11" s="10" t="str">
        <f aca="false">IF(AND(F11&lt;&gt;"",G11&lt;&gt;""),ABS(G11-F11),"")</f>
        <v/>
      </c>
    </row>
    <row r="12" customFormat="false" ht="24.75" hidden="false" customHeight="true" outlineLevel="0" collapsed="false">
      <c r="A12" s="5" t="s">
        <v>31</v>
      </c>
      <c r="B12" s="5"/>
      <c r="C12" s="5"/>
      <c r="D12" s="5"/>
      <c r="E12" s="5"/>
      <c r="F12" s="5"/>
      <c r="G12" s="5"/>
      <c r="H12" s="5"/>
    </row>
    <row r="13" customFormat="false" ht="79.5" hidden="false" customHeight="true" outlineLevel="0" collapsed="false">
      <c r="A13" s="6" t="n">
        <v>7</v>
      </c>
      <c r="B13" s="7" t="s">
        <v>32</v>
      </c>
      <c r="C13" s="6" t="s">
        <v>33</v>
      </c>
      <c r="D13" s="8" t="s">
        <v>34</v>
      </c>
      <c r="E13" s="8" t="s">
        <v>35</v>
      </c>
      <c r="F13" s="9"/>
      <c r="G13" s="9"/>
      <c r="H13" s="10" t="str">
        <f aca="false">IF(AND(F13&lt;&gt;"",G13&lt;&gt;""),ABS(G13-F13),"")</f>
        <v/>
      </c>
    </row>
    <row r="14" customFormat="false" ht="79.5" hidden="false" customHeight="true" outlineLevel="0" collapsed="false">
      <c r="A14" s="6" t="n">
        <v>8</v>
      </c>
      <c r="B14" s="7" t="s">
        <v>32</v>
      </c>
      <c r="C14" s="6" t="s">
        <v>36</v>
      </c>
      <c r="D14" s="8" t="s">
        <v>37</v>
      </c>
      <c r="E14" s="8" t="s">
        <v>38</v>
      </c>
      <c r="F14" s="9"/>
      <c r="G14" s="9"/>
      <c r="H14" s="10" t="str">
        <f aca="false">IF(AND(F14&lt;&gt;"",G14&lt;&gt;""),ABS(G14-F14),"")</f>
        <v/>
      </c>
    </row>
    <row r="15" customFormat="false" ht="79.5" hidden="false" customHeight="true" outlineLevel="0" collapsed="false">
      <c r="A15" s="6" t="n">
        <v>9</v>
      </c>
      <c r="B15" s="7" t="s">
        <v>32</v>
      </c>
      <c r="C15" s="6" t="s">
        <v>39</v>
      </c>
      <c r="D15" s="8" t="s">
        <v>40</v>
      </c>
      <c r="E15" s="8" t="s">
        <v>41</v>
      </c>
      <c r="F15" s="9"/>
      <c r="G15" s="9"/>
      <c r="H15" s="10" t="str">
        <f aca="false">IF(AND(F15&lt;&gt;"",G15&lt;&gt;""),ABS(G15-F15),"")</f>
        <v/>
      </c>
    </row>
    <row r="16" customFormat="false" ht="79.5" hidden="false" customHeight="true" outlineLevel="0" collapsed="false">
      <c r="A16" s="6" t="n">
        <v>10</v>
      </c>
      <c r="B16" s="7" t="s">
        <v>32</v>
      </c>
      <c r="C16" s="6" t="s">
        <v>42</v>
      </c>
      <c r="D16" s="8" t="s">
        <v>43</v>
      </c>
      <c r="E16" s="8" t="s">
        <v>44</v>
      </c>
      <c r="F16" s="9"/>
      <c r="G16" s="9"/>
      <c r="H16" s="10" t="str">
        <f aca="false">IF(AND(F16&lt;&gt;"",G16&lt;&gt;""),ABS(G16-F16),"")</f>
        <v/>
      </c>
    </row>
    <row r="17" customFormat="false" ht="79.5" hidden="false" customHeight="true" outlineLevel="0" collapsed="false">
      <c r="A17" s="6" t="n">
        <v>11</v>
      </c>
      <c r="B17" s="7" t="s">
        <v>32</v>
      </c>
      <c r="C17" s="6" t="s">
        <v>45</v>
      </c>
      <c r="D17" s="8" t="s">
        <v>46</v>
      </c>
      <c r="E17" s="8" t="s">
        <v>47</v>
      </c>
      <c r="F17" s="9"/>
      <c r="G17" s="9"/>
      <c r="H17" s="10" t="str">
        <f aca="false">IF(AND(F17&lt;&gt;"",G17&lt;&gt;""),ABS(G17-F17),"")</f>
        <v/>
      </c>
    </row>
    <row r="18" customFormat="false" ht="79.5" hidden="false" customHeight="true" outlineLevel="0" collapsed="false">
      <c r="A18" s="6" t="n">
        <v>12</v>
      </c>
      <c r="B18" s="7" t="s">
        <v>32</v>
      </c>
      <c r="C18" s="6" t="s">
        <v>48</v>
      </c>
      <c r="D18" s="8" t="s">
        <v>49</v>
      </c>
      <c r="E18" s="8" t="s">
        <v>50</v>
      </c>
      <c r="F18" s="9"/>
      <c r="G18" s="9"/>
      <c r="H18" s="10" t="str">
        <f aca="false">IF(AND(F18&lt;&gt;"",G18&lt;&gt;""),ABS(G18-F18),"")</f>
        <v/>
      </c>
    </row>
    <row r="19" customFormat="false" ht="24.75" hidden="false" customHeight="true" outlineLevel="0" collapsed="false">
      <c r="A19" s="5" t="s">
        <v>51</v>
      </c>
      <c r="B19" s="5"/>
      <c r="C19" s="5"/>
      <c r="D19" s="5"/>
      <c r="E19" s="5"/>
      <c r="F19" s="5"/>
      <c r="G19" s="5"/>
      <c r="H19" s="5"/>
    </row>
    <row r="20" customFormat="false" ht="79.5" hidden="false" customHeight="true" outlineLevel="0" collapsed="false">
      <c r="A20" s="6" t="n">
        <v>13</v>
      </c>
      <c r="B20" s="7" t="s">
        <v>52</v>
      </c>
      <c r="C20" s="6" t="s">
        <v>53</v>
      </c>
      <c r="D20" s="8" t="s">
        <v>54</v>
      </c>
      <c r="E20" s="8" t="s">
        <v>55</v>
      </c>
      <c r="F20" s="9"/>
      <c r="G20" s="9"/>
      <c r="H20" s="10" t="str">
        <f aca="false">IF(AND(F20&lt;&gt;"",G20&lt;&gt;""),ABS(G20-F20),"")</f>
        <v/>
      </c>
    </row>
    <row r="21" customFormat="false" ht="79.5" hidden="false" customHeight="true" outlineLevel="0" collapsed="false">
      <c r="A21" s="6" t="n">
        <v>14</v>
      </c>
      <c r="B21" s="7" t="s">
        <v>52</v>
      </c>
      <c r="C21" s="6" t="s">
        <v>56</v>
      </c>
      <c r="D21" s="8" t="s">
        <v>57</v>
      </c>
      <c r="E21" s="8" t="s">
        <v>58</v>
      </c>
      <c r="F21" s="9"/>
      <c r="G21" s="9"/>
      <c r="H21" s="10" t="str">
        <f aca="false">IF(AND(F21&lt;&gt;"",G21&lt;&gt;""),ABS(G21-F21),"")</f>
        <v/>
      </c>
    </row>
    <row r="22" customFormat="false" ht="79.5" hidden="false" customHeight="true" outlineLevel="0" collapsed="false">
      <c r="A22" s="6" t="n">
        <v>15</v>
      </c>
      <c r="B22" s="7" t="s">
        <v>52</v>
      </c>
      <c r="C22" s="6" t="s">
        <v>59</v>
      </c>
      <c r="D22" s="8" t="s">
        <v>60</v>
      </c>
      <c r="E22" s="8" t="s">
        <v>61</v>
      </c>
      <c r="F22" s="9"/>
      <c r="G22" s="9"/>
      <c r="H22" s="10" t="str">
        <f aca="false">IF(AND(F22&lt;&gt;"",G22&lt;&gt;""),ABS(G22-F22),"")</f>
        <v/>
      </c>
    </row>
    <row r="23" customFormat="false" ht="79.5" hidden="false" customHeight="true" outlineLevel="0" collapsed="false">
      <c r="A23" s="6" t="n">
        <v>16</v>
      </c>
      <c r="B23" s="7" t="s">
        <v>52</v>
      </c>
      <c r="C23" s="6" t="s">
        <v>62</v>
      </c>
      <c r="D23" s="8" t="s">
        <v>63</v>
      </c>
      <c r="E23" s="8" t="s">
        <v>64</v>
      </c>
      <c r="F23" s="9"/>
      <c r="G23" s="9"/>
      <c r="H23" s="10" t="str">
        <f aca="false">IF(AND(F23&lt;&gt;"",G23&lt;&gt;""),ABS(G23-F23),"")</f>
        <v/>
      </c>
    </row>
    <row r="24" customFormat="false" ht="79.5" hidden="false" customHeight="true" outlineLevel="0" collapsed="false">
      <c r="A24" s="6" t="n">
        <v>17</v>
      </c>
      <c r="B24" s="7" t="s">
        <v>52</v>
      </c>
      <c r="C24" s="6" t="s">
        <v>65</v>
      </c>
      <c r="D24" s="8" t="s">
        <v>66</v>
      </c>
      <c r="E24" s="8" t="s">
        <v>67</v>
      </c>
      <c r="F24" s="9"/>
      <c r="G24" s="9"/>
      <c r="H24" s="10" t="str">
        <f aca="false">IF(AND(F24&lt;&gt;"",G24&lt;&gt;""),ABS(G24-F24),"")</f>
        <v/>
      </c>
    </row>
    <row r="25" customFormat="false" ht="79.5" hidden="false" customHeight="true" outlineLevel="0" collapsed="false">
      <c r="A25" s="6" t="n">
        <v>18</v>
      </c>
      <c r="B25" s="7" t="s">
        <v>52</v>
      </c>
      <c r="C25" s="6" t="s">
        <v>68</v>
      </c>
      <c r="D25" s="8" t="s">
        <v>69</v>
      </c>
      <c r="E25" s="8" t="s">
        <v>70</v>
      </c>
      <c r="F25" s="9"/>
      <c r="G25" s="9"/>
      <c r="H25" s="10" t="str">
        <f aca="false">IF(AND(F25&lt;&gt;"",G25&lt;&gt;""),ABS(G25-F25),"")</f>
        <v/>
      </c>
    </row>
    <row r="26" customFormat="false" ht="24.75" hidden="false" customHeight="true" outlineLevel="0" collapsed="false">
      <c r="A26" s="5" t="s">
        <v>71</v>
      </c>
      <c r="B26" s="5"/>
      <c r="C26" s="5"/>
      <c r="D26" s="5"/>
      <c r="E26" s="5"/>
      <c r="F26" s="5"/>
      <c r="G26" s="5"/>
      <c r="H26" s="5"/>
    </row>
    <row r="27" customFormat="false" ht="79.5" hidden="false" customHeight="true" outlineLevel="0" collapsed="false">
      <c r="A27" s="6" t="n">
        <v>19</v>
      </c>
      <c r="B27" s="7" t="s">
        <v>72</v>
      </c>
      <c r="C27" s="6" t="s">
        <v>73</v>
      </c>
      <c r="D27" s="8" t="s">
        <v>74</v>
      </c>
      <c r="E27" s="8" t="s">
        <v>75</v>
      </c>
      <c r="F27" s="9"/>
      <c r="G27" s="9"/>
      <c r="H27" s="10" t="str">
        <f aca="false">IF(AND(F27&lt;&gt;"",G27&lt;&gt;""),ABS(G27-F27),"")</f>
        <v/>
      </c>
    </row>
    <row r="28" customFormat="false" ht="79.5" hidden="false" customHeight="true" outlineLevel="0" collapsed="false">
      <c r="A28" s="6" t="n">
        <v>20</v>
      </c>
      <c r="B28" s="7" t="s">
        <v>72</v>
      </c>
      <c r="C28" s="6" t="s">
        <v>76</v>
      </c>
      <c r="D28" s="8" t="s">
        <v>77</v>
      </c>
      <c r="E28" s="8" t="s">
        <v>78</v>
      </c>
      <c r="F28" s="9"/>
      <c r="G28" s="9"/>
      <c r="H28" s="10" t="str">
        <f aca="false">IF(AND(F28&lt;&gt;"",G28&lt;&gt;""),ABS(G28-F28),"")</f>
        <v/>
      </c>
    </row>
    <row r="29" customFormat="false" ht="79.5" hidden="false" customHeight="true" outlineLevel="0" collapsed="false">
      <c r="A29" s="6" t="n">
        <v>21</v>
      </c>
      <c r="B29" s="7" t="s">
        <v>72</v>
      </c>
      <c r="C29" s="6" t="s">
        <v>79</v>
      </c>
      <c r="D29" s="8" t="s">
        <v>80</v>
      </c>
      <c r="E29" s="8" t="s">
        <v>81</v>
      </c>
      <c r="F29" s="9"/>
      <c r="G29" s="9"/>
      <c r="H29" s="10" t="str">
        <f aca="false">IF(AND(F29&lt;&gt;"",G29&lt;&gt;""),ABS(G29-F29),"")</f>
        <v/>
      </c>
    </row>
    <row r="30" customFormat="false" ht="79.5" hidden="false" customHeight="true" outlineLevel="0" collapsed="false">
      <c r="A30" s="6" t="n">
        <v>22</v>
      </c>
      <c r="B30" s="7" t="s">
        <v>72</v>
      </c>
      <c r="C30" s="6" t="s">
        <v>82</v>
      </c>
      <c r="D30" s="8" t="s">
        <v>83</v>
      </c>
      <c r="E30" s="8" t="s">
        <v>84</v>
      </c>
      <c r="F30" s="9"/>
      <c r="G30" s="9"/>
      <c r="H30" s="10" t="str">
        <f aca="false">IF(AND(F30&lt;&gt;"",G30&lt;&gt;""),ABS(G30-F30),"")</f>
        <v/>
      </c>
    </row>
    <row r="31" customFormat="false" ht="79.5" hidden="false" customHeight="true" outlineLevel="0" collapsed="false">
      <c r="A31" s="6" t="n">
        <v>23</v>
      </c>
      <c r="B31" s="7" t="s">
        <v>72</v>
      </c>
      <c r="C31" s="6" t="s">
        <v>85</v>
      </c>
      <c r="D31" s="8" t="s">
        <v>86</v>
      </c>
      <c r="E31" s="8" t="s">
        <v>87</v>
      </c>
      <c r="F31" s="9"/>
      <c r="G31" s="9"/>
      <c r="H31" s="10" t="str">
        <f aca="false">IF(AND(F31&lt;&gt;"",G31&lt;&gt;""),ABS(G31-F31),"")</f>
        <v/>
      </c>
    </row>
    <row r="32" customFormat="false" ht="79.5" hidden="false" customHeight="true" outlineLevel="0" collapsed="false">
      <c r="A32" s="6" t="n">
        <v>24</v>
      </c>
      <c r="B32" s="7" t="s">
        <v>72</v>
      </c>
      <c r="C32" s="6" t="s">
        <v>88</v>
      </c>
      <c r="D32" s="8" t="s">
        <v>89</v>
      </c>
      <c r="E32" s="8" t="s">
        <v>90</v>
      </c>
      <c r="F32" s="9"/>
      <c r="G32" s="9"/>
      <c r="H32" s="10" t="str">
        <f aca="false">IF(AND(F32&lt;&gt;"",G32&lt;&gt;""),ABS(G32-F32),"")</f>
        <v/>
      </c>
    </row>
    <row r="33" customFormat="false" ht="24.75" hidden="false" customHeight="true" outlineLevel="0" collapsed="false">
      <c r="A33" s="5" t="s">
        <v>91</v>
      </c>
      <c r="B33" s="5"/>
      <c r="C33" s="5"/>
      <c r="D33" s="5"/>
      <c r="E33" s="5"/>
      <c r="F33" s="5"/>
      <c r="G33" s="5"/>
      <c r="H33" s="5"/>
    </row>
    <row r="34" customFormat="false" ht="79.5" hidden="false" customHeight="true" outlineLevel="0" collapsed="false">
      <c r="A34" s="6" t="n">
        <v>25</v>
      </c>
      <c r="B34" s="7" t="s">
        <v>92</v>
      </c>
      <c r="C34" s="6" t="s">
        <v>93</v>
      </c>
      <c r="D34" s="8" t="s">
        <v>94</v>
      </c>
      <c r="E34" s="8" t="s">
        <v>95</v>
      </c>
      <c r="F34" s="9"/>
      <c r="G34" s="9"/>
      <c r="H34" s="10" t="str">
        <f aca="false">IF(AND(F34&lt;&gt;"",G34&lt;&gt;""),ABS(G34-F34),"")</f>
        <v/>
      </c>
    </row>
    <row r="35" customFormat="false" ht="79.5" hidden="false" customHeight="true" outlineLevel="0" collapsed="false">
      <c r="A35" s="6" t="n">
        <v>26</v>
      </c>
      <c r="B35" s="7" t="s">
        <v>92</v>
      </c>
      <c r="C35" s="6" t="s">
        <v>96</v>
      </c>
      <c r="D35" s="8" t="s">
        <v>97</v>
      </c>
      <c r="E35" s="8" t="s">
        <v>98</v>
      </c>
      <c r="F35" s="9"/>
      <c r="G35" s="9"/>
      <c r="H35" s="10" t="str">
        <f aca="false">IF(AND(F35&lt;&gt;"",G35&lt;&gt;""),ABS(G35-F35),"")</f>
        <v/>
      </c>
    </row>
    <row r="36" customFormat="false" ht="79.5" hidden="false" customHeight="true" outlineLevel="0" collapsed="false">
      <c r="A36" s="6" t="n">
        <v>27</v>
      </c>
      <c r="B36" s="7" t="s">
        <v>92</v>
      </c>
      <c r="C36" s="6" t="s">
        <v>99</v>
      </c>
      <c r="D36" s="8" t="s">
        <v>100</v>
      </c>
      <c r="E36" s="8" t="s">
        <v>101</v>
      </c>
      <c r="F36" s="9"/>
      <c r="G36" s="9"/>
      <c r="H36" s="10" t="str">
        <f aca="false">IF(AND(F36&lt;&gt;"",G36&lt;&gt;""),ABS(G36-F36),"")</f>
        <v/>
      </c>
    </row>
    <row r="37" customFormat="false" ht="79.5" hidden="false" customHeight="true" outlineLevel="0" collapsed="false">
      <c r="A37" s="6" t="n">
        <v>28</v>
      </c>
      <c r="B37" s="7" t="s">
        <v>92</v>
      </c>
      <c r="C37" s="6" t="s">
        <v>102</v>
      </c>
      <c r="D37" s="8" t="s">
        <v>103</v>
      </c>
      <c r="E37" s="8" t="s">
        <v>104</v>
      </c>
      <c r="F37" s="9"/>
      <c r="G37" s="9"/>
      <c r="H37" s="10" t="str">
        <f aca="false">IF(AND(F37&lt;&gt;"",G37&lt;&gt;""),ABS(G37-F37),"")</f>
        <v/>
      </c>
    </row>
    <row r="38" customFormat="false" ht="79.5" hidden="false" customHeight="true" outlineLevel="0" collapsed="false">
      <c r="A38" s="6" t="n">
        <v>29</v>
      </c>
      <c r="B38" s="7" t="s">
        <v>92</v>
      </c>
      <c r="C38" s="6" t="s">
        <v>105</v>
      </c>
      <c r="D38" s="8" t="s">
        <v>106</v>
      </c>
      <c r="E38" s="8" t="s">
        <v>107</v>
      </c>
      <c r="F38" s="9"/>
      <c r="G38" s="9"/>
      <c r="H38" s="10" t="str">
        <f aca="false">IF(AND(F38&lt;&gt;"",G38&lt;&gt;""),ABS(G38-F38),"")</f>
        <v/>
      </c>
    </row>
    <row r="39" customFormat="false" ht="79.5" hidden="false" customHeight="true" outlineLevel="0" collapsed="false">
      <c r="A39" s="6" t="n">
        <v>30</v>
      </c>
      <c r="B39" s="7" t="s">
        <v>92</v>
      </c>
      <c r="C39" s="6" t="s">
        <v>108</v>
      </c>
      <c r="D39" s="8" t="s">
        <v>109</v>
      </c>
      <c r="E39" s="8" t="s">
        <v>110</v>
      </c>
      <c r="F39" s="9"/>
      <c r="G39" s="9"/>
      <c r="H39" s="10" t="str">
        <f aca="false">IF(AND(F39&lt;&gt;"",G39&lt;&gt;""),ABS(G39-F39),"")</f>
        <v/>
      </c>
    </row>
    <row r="40" customFormat="false" ht="24.75" hidden="false" customHeight="true" outlineLevel="0" collapsed="false">
      <c r="A40" s="5" t="s">
        <v>111</v>
      </c>
      <c r="B40" s="5"/>
      <c r="C40" s="5"/>
      <c r="D40" s="5"/>
      <c r="E40" s="5"/>
      <c r="F40" s="5"/>
      <c r="G40" s="5"/>
      <c r="H40" s="5"/>
    </row>
    <row r="41" customFormat="false" ht="79.5" hidden="false" customHeight="true" outlineLevel="0" collapsed="false">
      <c r="A41" s="6" t="n">
        <v>31</v>
      </c>
      <c r="B41" s="7" t="s">
        <v>112</v>
      </c>
      <c r="C41" s="6" t="s">
        <v>113</v>
      </c>
      <c r="D41" s="8" t="s">
        <v>114</v>
      </c>
      <c r="E41" s="8" t="s">
        <v>115</v>
      </c>
      <c r="F41" s="9"/>
      <c r="G41" s="9"/>
      <c r="H41" s="10" t="str">
        <f aca="false">IF(AND(F41&lt;&gt;"",G41&lt;&gt;""),ABS(G41-F41),"")</f>
        <v/>
      </c>
    </row>
    <row r="42" customFormat="false" ht="79.5" hidden="false" customHeight="true" outlineLevel="0" collapsed="false">
      <c r="A42" s="6" t="n">
        <v>32</v>
      </c>
      <c r="B42" s="7" t="s">
        <v>112</v>
      </c>
      <c r="C42" s="6" t="s">
        <v>116</v>
      </c>
      <c r="D42" s="8" t="s">
        <v>117</v>
      </c>
      <c r="E42" s="8" t="s">
        <v>118</v>
      </c>
      <c r="F42" s="9"/>
      <c r="G42" s="9"/>
      <c r="H42" s="10" t="str">
        <f aca="false">IF(AND(F42&lt;&gt;"",G42&lt;&gt;""),ABS(G42-F42),"")</f>
        <v/>
      </c>
    </row>
    <row r="43" customFormat="false" ht="79.5" hidden="false" customHeight="true" outlineLevel="0" collapsed="false">
      <c r="A43" s="6" t="n">
        <v>33</v>
      </c>
      <c r="B43" s="7" t="s">
        <v>112</v>
      </c>
      <c r="C43" s="6" t="s">
        <v>119</v>
      </c>
      <c r="D43" s="8" t="s">
        <v>120</v>
      </c>
      <c r="E43" s="8" t="s">
        <v>121</v>
      </c>
      <c r="F43" s="9"/>
      <c r="G43" s="9"/>
      <c r="H43" s="10" t="str">
        <f aca="false">IF(AND(F43&lt;&gt;"",G43&lt;&gt;""),ABS(G43-F43),"")</f>
        <v/>
      </c>
    </row>
    <row r="44" customFormat="false" ht="79.5" hidden="false" customHeight="true" outlineLevel="0" collapsed="false">
      <c r="A44" s="6" t="n">
        <v>34</v>
      </c>
      <c r="B44" s="7" t="s">
        <v>112</v>
      </c>
      <c r="C44" s="6" t="s">
        <v>122</v>
      </c>
      <c r="D44" s="8" t="s">
        <v>123</v>
      </c>
      <c r="E44" s="8" t="s">
        <v>124</v>
      </c>
      <c r="F44" s="9"/>
      <c r="G44" s="9"/>
      <c r="H44" s="10" t="str">
        <f aca="false">IF(AND(F44&lt;&gt;"",G44&lt;&gt;""),ABS(G44-F44),"")</f>
        <v/>
      </c>
    </row>
    <row r="45" customFormat="false" ht="79.5" hidden="false" customHeight="true" outlineLevel="0" collapsed="false">
      <c r="A45" s="6" t="n">
        <v>35</v>
      </c>
      <c r="B45" s="7" t="s">
        <v>112</v>
      </c>
      <c r="C45" s="6" t="s">
        <v>125</v>
      </c>
      <c r="D45" s="8" t="s">
        <v>126</v>
      </c>
      <c r="E45" s="8" t="s">
        <v>127</v>
      </c>
      <c r="F45" s="9"/>
      <c r="G45" s="9"/>
      <c r="H45" s="10" t="str">
        <f aca="false">IF(AND(F45&lt;&gt;"",G45&lt;&gt;""),ABS(G45-F45),"")</f>
        <v/>
      </c>
    </row>
    <row r="46" customFormat="false" ht="79.5" hidden="false" customHeight="true" outlineLevel="0" collapsed="false">
      <c r="A46" s="6" t="n">
        <v>36</v>
      </c>
      <c r="B46" s="7" t="s">
        <v>112</v>
      </c>
      <c r="C46" s="6" t="s">
        <v>128</v>
      </c>
      <c r="D46" s="8" t="s">
        <v>129</v>
      </c>
      <c r="E46" s="8" t="s">
        <v>130</v>
      </c>
      <c r="F46" s="9"/>
      <c r="G46" s="9"/>
      <c r="H46" s="10" t="str">
        <f aca="false">IF(AND(F46&lt;&gt;"",G46&lt;&gt;""),ABS(G46-F46),"")</f>
        <v/>
      </c>
    </row>
    <row r="47" customFormat="false" ht="24.75" hidden="false" customHeight="true" outlineLevel="0" collapsed="false">
      <c r="A47" s="5" t="s">
        <v>131</v>
      </c>
      <c r="B47" s="5"/>
      <c r="C47" s="5"/>
      <c r="D47" s="5"/>
      <c r="E47" s="5"/>
      <c r="F47" s="5"/>
      <c r="G47" s="5"/>
      <c r="H47" s="5"/>
    </row>
    <row r="48" customFormat="false" ht="79.5" hidden="false" customHeight="true" outlineLevel="0" collapsed="false">
      <c r="A48" s="6" t="n">
        <v>37</v>
      </c>
      <c r="B48" s="7" t="s">
        <v>132</v>
      </c>
      <c r="C48" s="6" t="s">
        <v>133</v>
      </c>
      <c r="D48" s="8" t="s">
        <v>134</v>
      </c>
      <c r="E48" s="8" t="s">
        <v>135</v>
      </c>
      <c r="F48" s="9"/>
      <c r="G48" s="9"/>
      <c r="H48" s="10" t="str">
        <f aca="false">IF(AND(F48&lt;&gt;"",G48&lt;&gt;""),ABS(G48-F48),"")</f>
        <v/>
      </c>
    </row>
    <row r="49" customFormat="false" ht="79.5" hidden="false" customHeight="true" outlineLevel="0" collapsed="false">
      <c r="A49" s="6" t="n">
        <v>38</v>
      </c>
      <c r="B49" s="7" t="s">
        <v>132</v>
      </c>
      <c r="C49" s="6" t="s">
        <v>136</v>
      </c>
      <c r="D49" s="8" t="s">
        <v>137</v>
      </c>
      <c r="E49" s="8" t="s">
        <v>138</v>
      </c>
      <c r="F49" s="9"/>
      <c r="G49" s="9"/>
      <c r="H49" s="10" t="str">
        <f aca="false">IF(AND(F49&lt;&gt;"",G49&lt;&gt;""),ABS(G49-F49),"")</f>
        <v/>
      </c>
    </row>
    <row r="50" customFormat="false" ht="79.5" hidden="false" customHeight="true" outlineLevel="0" collapsed="false">
      <c r="A50" s="6" t="n">
        <v>39</v>
      </c>
      <c r="B50" s="7" t="s">
        <v>132</v>
      </c>
      <c r="C50" s="6" t="s">
        <v>139</v>
      </c>
      <c r="D50" s="8" t="s">
        <v>140</v>
      </c>
      <c r="E50" s="8" t="s">
        <v>141</v>
      </c>
      <c r="F50" s="9"/>
      <c r="G50" s="9"/>
      <c r="H50" s="10" t="str">
        <f aca="false">IF(AND(F50&lt;&gt;"",G50&lt;&gt;""),ABS(G50-F50),"")</f>
        <v/>
      </c>
    </row>
    <row r="51" customFormat="false" ht="79.5" hidden="false" customHeight="true" outlineLevel="0" collapsed="false">
      <c r="A51" s="6" t="n">
        <v>40</v>
      </c>
      <c r="B51" s="7" t="s">
        <v>132</v>
      </c>
      <c r="C51" s="6" t="s">
        <v>142</v>
      </c>
      <c r="D51" s="8" t="s">
        <v>143</v>
      </c>
      <c r="E51" s="8" t="s">
        <v>144</v>
      </c>
      <c r="F51" s="9"/>
      <c r="G51" s="9"/>
      <c r="H51" s="10" t="str">
        <f aca="false">IF(AND(F51&lt;&gt;"",G51&lt;&gt;""),ABS(G51-F51),"")</f>
        <v/>
      </c>
    </row>
    <row r="52" customFormat="false" ht="79.5" hidden="false" customHeight="true" outlineLevel="0" collapsed="false">
      <c r="A52" s="6" t="n">
        <v>41</v>
      </c>
      <c r="B52" s="7" t="s">
        <v>132</v>
      </c>
      <c r="C52" s="6" t="s">
        <v>145</v>
      </c>
      <c r="D52" s="8" t="s">
        <v>146</v>
      </c>
      <c r="E52" s="8" t="s">
        <v>147</v>
      </c>
      <c r="F52" s="9"/>
      <c r="G52" s="9"/>
      <c r="H52" s="10" t="str">
        <f aca="false">IF(AND(F52&lt;&gt;"",G52&lt;&gt;""),ABS(G52-F52),"")</f>
        <v/>
      </c>
    </row>
    <row r="53" customFormat="false" ht="79.5" hidden="false" customHeight="true" outlineLevel="0" collapsed="false">
      <c r="A53" s="6" t="n">
        <v>42</v>
      </c>
      <c r="B53" s="7" t="s">
        <v>132</v>
      </c>
      <c r="C53" s="6" t="s">
        <v>148</v>
      </c>
      <c r="D53" s="8" t="s">
        <v>149</v>
      </c>
      <c r="E53" s="8" t="s">
        <v>150</v>
      </c>
      <c r="F53" s="9"/>
      <c r="G53" s="9"/>
      <c r="H53" s="10" t="str">
        <f aca="false">IF(AND(F53&lt;&gt;"",G53&lt;&gt;""),ABS(G53-F53),"")</f>
        <v/>
      </c>
    </row>
    <row r="54" customFormat="false" ht="24.75" hidden="false" customHeight="true" outlineLevel="0" collapsed="false">
      <c r="A54" s="5" t="s">
        <v>151</v>
      </c>
      <c r="B54" s="5"/>
      <c r="C54" s="5"/>
      <c r="D54" s="5"/>
      <c r="E54" s="5"/>
      <c r="F54" s="5"/>
      <c r="G54" s="5"/>
      <c r="H54" s="5"/>
    </row>
    <row r="55" customFormat="false" ht="79.5" hidden="false" customHeight="true" outlineLevel="0" collapsed="false">
      <c r="A55" s="6" t="n">
        <v>43</v>
      </c>
      <c r="B55" s="7" t="s">
        <v>152</v>
      </c>
      <c r="C55" s="6" t="s">
        <v>153</v>
      </c>
      <c r="D55" s="8" t="s">
        <v>154</v>
      </c>
      <c r="E55" s="8" t="s">
        <v>155</v>
      </c>
      <c r="F55" s="9"/>
      <c r="G55" s="9"/>
      <c r="H55" s="10" t="str">
        <f aca="false">IF(AND(F55&lt;&gt;"",G55&lt;&gt;""),ABS(G55-F55),"")</f>
        <v/>
      </c>
    </row>
    <row r="56" customFormat="false" ht="79.5" hidden="false" customHeight="true" outlineLevel="0" collapsed="false">
      <c r="A56" s="6" t="n">
        <v>44</v>
      </c>
      <c r="B56" s="7" t="s">
        <v>152</v>
      </c>
      <c r="C56" s="6" t="s">
        <v>156</v>
      </c>
      <c r="D56" s="8" t="s">
        <v>157</v>
      </c>
      <c r="E56" s="8" t="s">
        <v>158</v>
      </c>
      <c r="F56" s="9"/>
      <c r="G56" s="9"/>
      <c r="H56" s="10" t="str">
        <f aca="false">IF(AND(F56&lt;&gt;"",G56&lt;&gt;""),ABS(G56-F56),"")</f>
        <v/>
      </c>
    </row>
    <row r="57" customFormat="false" ht="79.5" hidden="false" customHeight="true" outlineLevel="0" collapsed="false">
      <c r="A57" s="6" t="n">
        <v>45</v>
      </c>
      <c r="B57" s="7" t="s">
        <v>152</v>
      </c>
      <c r="C57" s="6" t="s">
        <v>159</v>
      </c>
      <c r="D57" s="8" t="s">
        <v>160</v>
      </c>
      <c r="E57" s="8" t="s">
        <v>161</v>
      </c>
      <c r="F57" s="9"/>
      <c r="G57" s="9"/>
      <c r="H57" s="10" t="str">
        <f aca="false">IF(AND(F57&lt;&gt;"",G57&lt;&gt;""),ABS(G57-F57),"")</f>
        <v/>
      </c>
    </row>
    <row r="58" customFormat="false" ht="79.5" hidden="false" customHeight="true" outlineLevel="0" collapsed="false">
      <c r="A58" s="6" t="n">
        <v>46</v>
      </c>
      <c r="B58" s="7" t="s">
        <v>152</v>
      </c>
      <c r="C58" s="6" t="s">
        <v>162</v>
      </c>
      <c r="D58" s="8" t="s">
        <v>163</v>
      </c>
      <c r="E58" s="8" t="s">
        <v>164</v>
      </c>
      <c r="F58" s="9"/>
      <c r="G58" s="9"/>
      <c r="H58" s="10" t="str">
        <f aca="false">IF(AND(F58&lt;&gt;"",G58&lt;&gt;""),ABS(G58-F58),"")</f>
        <v/>
      </c>
    </row>
    <row r="59" customFormat="false" ht="79.5" hidden="false" customHeight="true" outlineLevel="0" collapsed="false">
      <c r="A59" s="6" t="n">
        <v>47</v>
      </c>
      <c r="B59" s="7" t="s">
        <v>152</v>
      </c>
      <c r="C59" s="6" t="s">
        <v>165</v>
      </c>
      <c r="D59" s="8" t="s">
        <v>166</v>
      </c>
      <c r="E59" s="8" t="s">
        <v>167</v>
      </c>
      <c r="F59" s="9"/>
      <c r="G59" s="9"/>
      <c r="H59" s="10" t="str">
        <f aca="false">IF(AND(F59&lt;&gt;"",G59&lt;&gt;""),ABS(G59-F59),"")</f>
        <v/>
      </c>
    </row>
    <row r="60" customFormat="false" ht="79.5" hidden="false" customHeight="true" outlineLevel="0" collapsed="false">
      <c r="A60" s="6" t="n">
        <v>48</v>
      </c>
      <c r="B60" s="7" t="s">
        <v>152</v>
      </c>
      <c r="C60" s="6" t="s">
        <v>168</v>
      </c>
      <c r="D60" s="8" t="s">
        <v>169</v>
      </c>
      <c r="E60" s="8" t="s">
        <v>170</v>
      </c>
      <c r="F60" s="9"/>
      <c r="G60" s="9"/>
      <c r="H60" s="10" t="str">
        <f aca="false">IF(AND(F60&lt;&gt;"",G60&lt;&gt;""),ABS(G60-F60),"")</f>
        <v/>
      </c>
    </row>
    <row r="61" customFormat="false" ht="24.75" hidden="false" customHeight="true" outlineLevel="0" collapsed="false">
      <c r="A61" s="5" t="s">
        <v>171</v>
      </c>
      <c r="B61" s="5"/>
      <c r="C61" s="5"/>
      <c r="D61" s="5"/>
      <c r="E61" s="5"/>
      <c r="F61" s="5"/>
      <c r="G61" s="5"/>
      <c r="H61" s="5"/>
    </row>
    <row r="62" customFormat="false" ht="79.5" hidden="false" customHeight="true" outlineLevel="0" collapsed="false">
      <c r="A62" s="6" t="n">
        <v>49</v>
      </c>
      <c r="B62" s="7" t="s">
        <v>172</v>
      </c>
      <c r="C62" s="6" t="s">
        <v>173</v>
      </c>
      <c r="D62" s="8" t="s">
        <v>174</v>
      </c>
      <c r="E62" s="8" t="s">
        <v>175</v>
      </c>
      <c r="F62" s="9"/>
      <c r="G62" s="9"/>
      <c r="H62" s="10" t="str">
        <f aca="false">IF(AND(F62&lt;&gt;"",G62&lt;&gt;""),ABS(G62-F62),"")</f>
        <v/>
      </c>
    </row>
    <row r="63" customFormat="false" ht="79.5" hidden="false" customHeight="true" outlineLevel="0" collapsed="false">
      <c r="A63" s="6" t="n">
        <v>50</v>
      </c>
      <c r="B63" s="7" t="s">
        <v>172</v>
      </c>
      <c r="C63" s="6" t="s">
        <v>176</v>
      </c>
      <c r="D63" s="8" t="s">
        <v>177</v>
      </c>
      <c r="E63" s="8" t="s">
        <v>178</v>
      </c>
      <c r="F63" s="9"/>
      <c r="G63" s="9"/>
      <c r="H63" s="10" t="str">
        <f aca="false">IF(AND(F63&lt;&gt;"",G63&lt;&gt;""),ABS(G63-F63),"")</f>
        <v/>
      </c>
    </row>
    <row r="64" customFormat="false" ht="79.5" hidden="false" customHeight="true" outlineLevel="0" collapsed="false">
      <c r="A64" s="6" t="n">
        <v>51</v>
      </c>
      <c r="B64" s="7" t="s">
        <v>172</v>
      </c>
      <c r="C64" s="6" t="s">
        <v>179</v>
      </c>
      <c r="D64" s="8" t="s">
        <v>180</v>
      </c>
      <c r="E64" s="8" t="s">
        <v>181</v>
      </c>
      <c r="F64" s="9"/>
      <c r="G64" s="9"/>
      <c r="H64" s="10" t="str">
        <f aca="false">IF(AND(F64&lt;&gt;"",G64&lt;&gt;""),ABS(G64-F64),"")</f>
        <v/>
      </c>
    </row>
    <row r="65" customFormat="false" ht="79.5" hidden="false" customHeight="true" outlineLevel="0" collapsed="false">
      <c r="A65" s="6" t="n">
        <v>52</v>
      </c>
      <c r="B65" s="7" t="s">
        <v>172</v>
      </c>
      <c r="C65" s="6" t="s">
        <v>182</v>
      </c>
      <c r="D65" s="8" t="s">
        <v>183</v>
      </c>
      <c r="E65" s="8" t="s">
        <v>184</v>
      </c>
      <c r="F65" s="9"/>
      <c r="G65" s="9"/>
      <c r="H65" s="10" t="str">
        <f aca="false">IF(AND(F65&lt;&gt;"",G65&lt;&gt;""),ABS(G65-F65),"")</f>
        <v/>
      </c>
    </row>
    <row r="66" customFormat="false" ht="79.5" hidden="false" customHeight="true" outlineLevel="0" collapsed="false">
      <c r="A66" s="6" t="n">
        <v>53</v>
      </c>
      <c r="B66" s="7" t="s">
        <v>172</v>
      </c>
      <c r="C66" s="6" t="s">
        <v>185</v>
      </c>
      <c r="D66" s="8" t="s">
        <v>186</v>
      </c>
      <c r="E66" s="8" t="s">
        <v>187</v>
      </c>
      <c r="F66" s="9"/>
      <c r="G66" s="9"/>
      <c r="H66" s="10" t="str">
        <f aca="false">IF(AND(F66&lt;&gt;"",G66&lt;&gt;""),ABS(G66-F66),"")</f>
        <v/>
      </c>
    </row>
    <row r="67" customFormat="false" ht="79.5" hidden="false" customHeight="true" outlineLevel="0" collapsed="false">
      <c r="A67" s="6" t="n">
        <v>54</v>
      </c>
      <c r="B67" s="7" t="s">
        <v>172</v>
      </c>
      <c r="C67" s="6" t="s">
        <v>188</v>
      </c>
      <c r="D67" s="8" t="s">
        <v>189</v>
      </c>
      <c r="E67" s="8" t="s">
        <v>190</v>
      </c>
      <c r="F67" s="9"/>
      <c r="G67" s="9"/>
      <c r="H67" s="10" t="str">
        <f aca="false">IF(AND(F67&lt;&gt;"",G67&lt;&gt;""),ABS(G67-F67),"")</f>
        <v/>
      </c>
    </row>
  </sheetData>
  <mergeCells count="12">
    <mergeCell ref="A1:H1"/>
    <mergeCell ref="A2:H2"/>
    <mergeCell ref="A3:H3"/>
    <mergeCell ref="A5:H5"/>
    <mergeCell ref="A12:H12"/>
    <mergeCell ref="A19:H19"/>
    <mergeCell ref="A26:H26"/>
    <mergeCell ref="A33:H33"/>
    <mergeCell ref="A40:H40"/>
    <mergeCell ref="A47:H47"/>
    <mergeCell ref="A54:H54"/>
    <mergeCell ref="A61:H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6" min="2" style="0" width="20"/>
    <col collapsed="false" customWidth="true" hidden="false" outlineLevel="0" max="7" min="7" style="0" width="25"/>
  </cols>
  <sheetData>
    <row r="1" customFormat="false" ht="17.35" hidden="false" customHeight="false" outlineLevel="0" collapsed="false">
      <c r="A1" s="11" t="s">
        <v>191</v>
      </c>
      <c r="B1" s="11"/>
      <c r="C1" s="11"/>
      <c r="D1" s="11"/>
      <c r="E1" s="11"/>
      <c r="F1" s="11"/>
      <c r="G1" s="11"/>
    </row>
    <row r="2" customFormat="false" ht="15" hidden="false" customHeight="false" outlineLevel="0" collapsed="false">
      <c r="A2" s="2" t="s">
        <v>192</v>
      </c>
      <c r="B2" s="2"/>
      <c r="C2" s="2"/>
      <c r="D2" s="2"/>
      <c r="E2" s="2"/>
      <c r="F2" s="2"/>
      <c r="G2" s="2"/>
    </row>
    <row r="4" customFormat="false" ht="26.85" hidden="false" customHeight="false" outlineLevel="0" collapsed="false">
      <c r="A4" s="4" t="s">
        <v>4</v>
      </c>
      <c r="B4" s="4" t="s">
        <v>193</v>
      </c>
      <c r="C4" s="4" t="s">
        <v>194</v>
      </c>
      <c r="D4" s="4" t="s">
        <v>195</v>
      </c>
      <c r="E4" s="4" t="s">
        <v>196</v>
      </c>
      <c r="F4" s="4" t="s">
        <v>197</v>
      </c>
      <c r="G4" s="4" t="s">
        <v>198</v>
      </c>
    </row>
    <row r="5" customFormat="false" ht="15" hidden="false" customHeight="false" outlineLevel="0" collapsed="false">
      <c r="A5" s="7" t="s">
        <v>12</v>
      </c>
      <c r="B5" s="12" t="str">
        <f aca="false">IFERROR(AVERAGE(Questions!F6:F11),"")</f>
        <v/>
      </c>
      <c r="C5" s="12" t="str">
        <f aca="false">IFERROR(AVERAGE(Questions!G6:G11),"")</f>
        <v/>
      </c>
      <c r="D5" s="12" t="str">
        <f aca="false">IFERROR(AVERAGE(Questions!H6:H11),"")</f>
        <v/>
      </c>
      <c r="E5" s="13" t="str">
        <f aca="false">IFERROR((1-D5/4)*100,"")</f>
        <v/>
      </c>
      <c r="F5" s="12" t="str">
        <f aca="false">IFERROR(B5/5*100,"")</f>
        <v/>
      </c>
      <c r="G5" s="6" t="str">
        <f aca="false">IFERROR(IF(E5&gt;=90,"STRENGTH",IF(E5&gt;=75,"OPPORTUNITY",IF(E5&gt;=60,"THREAT","WEAKNESS"))),"")</f>
        <v>STRENGTH</v>
      </c>
    </row>
    <row r="6" customFormat="false" ht="15" hidden="false" customHeight="false" outlineLevel="0" collapsed="false">
      <c r="A6" s="7" t="s">
        <v>32</v>
      </c>
      <c r="B6" s="12" t="str">
        <f aca="false">IFERROR(AVERAGE(Questions!F13:F18),"")</f>
        <v/>
      </c>
      <c r="C6" s="12" t="str">
        <f aca="false">IFERROR(AVERAGE(Questions!G13:G18),"")</f>
        <v/>
      </c>
      <c r="D6" s="12" t="str">
        <f aca="false">IFERROR(AVERAGE(Questions!H13:H18),"")</f>
        <v/>
      </c>
      <c r="E6" s="13" t="str">
        <f aca="false">IFERROR((1-D6/4)*100,"")</f>
        <v/>
      </c>
      <c r="F6" s="12" t="str">
        <f aca="false">IFERROR(B6/5*100,"")</f>
        <v/>
      </c>
      <c r="G6" s="6" t="str">
        <f aca="false">IFERROR(IF(E6&gt;=90,"STRENGTH",IF(E6&gt;=75,"OPPORTUNITY",IF(E6&gt;=60,"THREAT","WEAKNESS"))),"")</f>
        <v>STRENGTH</v>
      </c>
    </row>
    <row r="7" customFormat="false" ht="15" hidden="false" customHeight="false" outlineLevel="0" collapsed="false">
      <c r="A7" s="7" t="s">
        <v>52</v>
      </c>
      <c r="B7" s="12" t="str">
        <f aca="false">IFERROR(AVERAGE(Questions!F20:F25),"")</f>
        <v/>
      </c>
      <c r="C7" s="12" t="str">
        <f aca="false">IFERROR(AVERAGE(Questions!G20:G25),"")</f>
        <v/>
      </c>
      <c r="D7" s="12" t="str">
        <f aca="false">IFERROR(AVERAGE(Questions!H20:H25),"")</f>
        <v/>
      </c>
      <c r="E7" s="13" t="str">
        <f aca="false">IFERROR((1-D7/4)*100,"")</f>
        <v/>
      </c>
      <c r="F7" s="12" t="str">
        <f aca="false">IFERROR(B7/5*100,"")</f>
        <v/>
      </c>
      <c r="G7" s="6" t="str">
        <f aca="false">IFERROR(IF(E7&gt;=90,"STRENGTH",IF(E7&gt;=75,"OPPORTUNITY",IF(E7&gt;=60,"THREAT","WEAKNESS"))),"")</f>
        <v>STRENGTH</v>
      </c>
    </row>
    <row r="8" customFormat="false" ht="15" hidden="false" customHeight="false" outlineLevel="0" collapsed="false">
      <c r="A8" s="7" t="s">
        <v>72</v>
      </c>
      <c r="B8" s="12" t="str">
        <f aca="false">IFERROR(AVERAGE(Questions!F27:F32),"")</f>
        <v/>
      </c>
      <c r="C8" s="12" t="str">
        <f aca="false">IFERROR(AVERAGE(Questions!G27:G32),"")</f>
        <v/>
      </c>
      <c r="D8" s="12" t="str">
        <f aca="false">IFERROR(AVERAGE(Questions!H27:H32),"")</f>
        <v/>
      </c>
      <c r="E8" s="13" t="str">
        <f aca="false">IFERROR((1-D8/4)*100,"")</f>
        <v/>
      </c>
      <c r="F8" s="12" t="str">
        <f aca="false">IFERROR(B8/5*100,"")</f>
        <v/>
      </c>
      <c r="G8" s="6" t="str">
        <f aca="false">IFERROR(IF(E8&gt;=90,"STRENGTH",IF(E8&gt;=75,"OPPORTUNITY",IF(E8&gt;=60,"THREAT","WEAKNESS"))),"")</f>
        <v>STRENGTH</v>
      </c>
    </row>
    <row r="9" customFormat="false" ht="15" hidden="false" customHeight="false" outlineLevel="0" collapsed="false">
      <c r="A9" s="7" t="s">
        <v>92</v>
      </c>
      <c r="B9" s="12" t="str">
        <f aca="false">IFERROR(AVERAGE(Questions!F34:F39),"")</f>
        <v/>
      </c>
      <c r="C9" s="12" t="str">
        <f aca="false">IFERROR(AVERAGE(Questions!G34:G39),"")</f>
        <v/>
      </c>
      <c r="D9" s="12" t="str">
        <f aca="false">IFERROR(AVERAGE(Questions!H34:H39),"")</f>
        <v/>
      </c>
      <c r="E9" s="13" t="str">
        <f aca="false">IFERROR((1-D9/4)*100,"")</f>
        <v/>
      </c>
      <c r="F9" s="12" t="str">
        <f aca="false">IFERROR(B9/5*100,"")</f>
        <v/>
      </c>
      <c r="G9" s="6" t="str">
        <f aca="false">IFERROR(IF(E9&gt;=90,"STRENGTH",IF(E9&gt;=75,"OPPORTUNITY",IF(E9&gt;=60,"THREAT","WEAKNESS"))),"")</f>
        <v>STRENGTH</v>
      </c>
    </row>
    <row r="10" customFormat="false" ht="15" hidden="false" customHeight="false" outlineLevel="0" collapsed="false">
      <c r="A10" s="7" t="s">
        <v>112</v>
      </c>
      <c r="B10" s="12" t="str">
        <f aca="false">IFERROR(AVERAGE(Questions!F41:F46),"")</f>
        <v/>
      </c>
      <c r="C10" s="12" t="str">
        <f aca="false">IFERROR(AVERAGE(Questions!G41:G46),"")</f>
        <v/>
      </c>
      <c r="D10" s="12" t="str">
        <f aca="false">IFERROR(AVERAGE(Questions!H41:H46),"")</f>
        <v/>
      </c>
      <c r="E10" s="13" t="str">
        <f aca="false">IFERROR((1-D10/4)*100,"")</f>
        <v/>
      </c>
      <c r="F10" s="12" t="str">
        <f aca="false">IFERROR(B10/5*100,"")</f>
        <v/>
      </c>
      <c r="G10" s="6" t="str">
        <f aca="false">IFERROR(IF(E10&gt;=90,"STRENGTH",IF(E10&gt;=75,"OPPORTUNITY",IF(E10&gt;=60,"THREAT","WEAKNESS"))),"")</f>
        <v>STRENGTH</v>
      </c>
    </row>
    <row r="11" customFormat="false" ht="15" hidden="false" customHeight="false" outlineLevel="0" collapsed="false">
      <c r="A11" s="7" t="s">
        <v>132</v>
      </c>
      <c r="B11" s="12" t="str">
        <f aca="false">IFERROR(AVERAGE(Questions!F48:F53),"")</f>
        <v/>
      </c>
      <c r="C11" s="12" t="str">
        <f aca="false">IFERROR(AVERAGE(Questions!G48:G53),"")</f>
        <v/>
      </c>
      <c r="D11" s="12" t="str">
        <f aca="false">IFERROR(AVERAGE(Questions!H48:H53),"")</f>
        <v/>
      </c>
      <c r="E11" s="13" t="str">
        <f aca="false">IFERROR((1-D11/4)*100,"")</f>
        <v/>
      </c>
      <c r="F11" s="12" t="str">
        <f aca="false">IFERROR(B11/5*100,"")</f>
        <v/>
      </c>
      <c r="G11" s="6" t="str">
        <f aca="false">IFERROR(IF(E11&gt;=90,"STRENGTH",IF(E11&gt;=75,"OPPORTUNITY",IF(E11&gt;=60,"THREAT","WEAKNESS"))),"")</f>
        <v>STRENGTH</v>
      </c>
    </row>
    <row r="12" customFormat="false" ht="15" hidden="false" customHeight="false" outlineLevel="0" collapsed="false">
      <c r="A12" s="7" t="s">
        <v>152</v>
      </c>
      <c r="B12" s="12" t="str">
        <f aca="false">IFERROR(AVERAGE(Questions!F55:F60),"")</f>
        <v/>
      </c>
      <c r="C12" s="12" t="str">
        <f aca="false">IFERROR(AVERAGE(Questions!G55:G60),"")</f>
        <v/>
      </c>
      <c r="D12" s="12" t="str">
        <f aca="false">IFERROR(AVERAGE(Questions!H55:H60),"")</f>
        <v/>
      </c>
      <c r="E12" s="13" t="str">
        <f aca="false">IFERROR((1-D12/4)*100,"")</f>
        <v/>
      </c>
      <c r="F12" s="12" t="str">
        <f aca="false">IFERROR(B12/5*100,"")</f>
        <v/>
      </c>
      <c r="G12" s="6" t="str">
        <f aca="false">IFERROR(IF(E12&gt;=90,"STRENGTH",IF(E12&gt;=75,"OPPORTUNITY",IF(E12&gt;=60,"THREAT","WEAKNESS"))),"")</f>
        <v>STRENGTH</v>
      </c>
    </row>
    <row r="13" customFormat="false" ht="15" hidden="false" customHeight="false" outlineLevel="0" collapsed="false">
      <c r="A13" s="7" t="s">
        <v>172</v>
      </c>
      <c r="B13" s="12" t="str">
        <f aca="false">IFERROR(AVERAGE(Questions!F62:F67),"")</f>
        <v/>
      </c>
      <c r="C13" s="12" t="str">
        <f aca="false">IFERROR(AVERAGE(Questions!G62:G67),"")</f>
        <v/>
      </c>
      <c r="D13" s="12" t="str">
        <f aca="false">IFERROR(AVERAGE(Questions!H62:H67),"")</f>
        <v/>
      </c>
      <c r="E13" s="13" t="str">
        <f aca="false">IFERROR((1-D13/4)*100,"")</f>
        <v/>
      </c>
      <c r="F13" s="12" t="str">
        <f aca="false">IFERROR(B13/5*100,"")</f>
        <v/>
      </c>
      <c r="G13" s="6" t="str">
        <f aca="false">IFERROR(IF(E13&gt;=90,"STRENGTH",IF(E13&gt;=75,"OPPORTUNITY",IF(E13&gt;=60,"THREAT","WEAKNESS"))),"")</f>
        <v>STRENGTH</v>
      </c>
    </row>
    <row r="15" customFormat="false" ht="15" hidden="false" customHeight="true" outlineLevel="0" collapsed="false">
      <c r="A15" s="14" t="s">
        <v>199</v>
      </c>
      <c r="B15" s="14"/>
      <c r="C15" s="14"/>
      <c r="D15" s="14"/>
      <c r="E15" s="14"/>
      <c r="F15" s="14"/>
      <c r="G15" s="14"/>
    </row>
    <row r="16" customFormat="false" ht="15" hidden="false" customHeight="false" outlineLevel="0" collapsed="false">
      <c r="A16" s="7" t="s">
        <v>200</v>
      </c>
      <c r="B16" s="15" t="str">
        <f aca="false">IFERROR(AVERAGE(E5:E13),"")</f>
        <v/>
      </c>
    </row>
    <row r="17" customFormat="false" ht="15" hidden="false" customHeight="false" outlineLevel="0" collapsed="false">
      <c r="A17" s="7" t="s">
        <v>201</v>
      </c>
      <c r="B17" s="15" t="str">
        <f aca="false">IFERROR(AVERAGE(F5:F13),"")</f>
        <v/>
      </c>
    </row>
    <row r="18" customFormat="false" ht="15" hidden="false" customHeight="false" outlineLevel="0" collapsed="false">
      <c r="A18" s="7" t="s">
        <v>202</v>
      </c>
      <c r="B18" s="15" t="str">
        <f aca="false">IFERROR(AVERAGE(D5:D13),"")</f>
        <v/>
      </c>
    </row>
    <row r="19" customFormat="false" ht="15" hidden="false" customHeight="false" outlineLevel="0" collapsed="false">
      <c r="A19" s="7" t="s">
        <v>203</v>
      </c>
      <c r="B19" s="10" t="n">
        <f aca="false">COUNTA(Questions!F6:F67)</f>
        <v>0</v>
      </c>
    </row>
    <row r="20" customFormat="false" ht="15" hidden="false" customHeight="false" outlineLevel="0" collapsed="false">
      <c r="A20" s="7" t="s">
        <v>204</v>
      </c>
      <c r="B20" s="10" t="n">
        <f aca="false">COUNTIF(G5:G13,"STRENGTH")</f>
        <v>9</v>
      </c>
    </row>
    <row r="21" customFormat="false" ht="15" hidden="false" customHeight="false" outlineLevel="0" collapsed="false">
      <c r="A21" s="7" t="s">
        <v>205</v>
      </c>
      <c r="B21" s="10" t="n">
        <f aca="false">COUNTIF(G5:G13,"OPPORTUNITY")</f>
        <v>0</v>
      </c>
    </row>
    <row r="22" customFormat="false" ht="15" hidden="false" customHeight="false" outlineLevel="0" collapsed="false">
      <c r="A22" s="7" t="s">
        <v>206</v>
      </c>
      <c r="B22" s="10" t="n">
        <f aca="false">COUNTIF(G5:G13,"THREAT")</f>
        <v>0</v>
      </c>
    </row>
    <row r="23" customFormat="false" ht="15" hidden="false" customHeight="false" outlineLevel="0" collapsed="false">
      <c r="A23" s="7" t="s">
        <v>207</v>
      </c>
      <c r="B23" s="10" t="n">
        <f aca="false">COUNTIF(G5:G13,"WEAKNESS")</f>
        <v>0</v>
      </c>
    </row>
  </sheetData>
  <mergeCells count="3">
    <mergeCell ref="A1:G1"/>
    <mergeCell ref="A2:G2"/>
    <mergeCell ref="A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90"/>
  </cols>
  <sheetData>
    <row r="1" customFormat="false" ht="17.35" hidden="false" customHeight="false" outlineLevel="0" collapsed="false">
      <c r="A1" s="11" t="s">
        <v>208</v>
      </c>
      <c r="B1" s="11"/>
      <c r="C1" s="11"/>
    </row>
    <row r="2" customFormat="false" ht="15" hidden="false" customHeight="false" outlineLevel="0" collapsed="false">
      <c r="A2" s="2" t="s">
        <v>209</v>
      </c>
      <c r="B2" s="2"/>
      <c r="C2" s="2"/>
    </row>
    <row r="4" customFormat="false" ht="15" hidden="false" customHeight="false" outlineLevel="0" collapsed="false">
      <c r="A4" s="4" t="s">
        <v>4</v>
      </c>
      <c r="B4" s="4" t="s">
        <v>210</v>
      </c>
      <c r="C4" s="4" t="s">
        <v>211</v>
      </c>
    </row>
    <row r="5" customFormat="false" ht="60" hidden="false" customHeight="true" outlineLevel="0" collapsed="false">
      <c r="A5" s="7" t="s">
        <v>12</v>
      </c>
      <c r="B5" s="16" t="s">
        <v>212</v>
      </c>
      <c r="C5" s="8" t="s">
        <v>213</v>
      </c>
    </row>
    <row r="6" customFormat="false" ht="60" hidden="false" customHeight="true" outlineLevel="0" collapsed="false">
      <c r="A6" s="7" t="s">
        <v>12</v>
      </c>
      <c r="B6" s="17" t="s">
        <v>214</v>
      </c>
      <c r="C6" s="8" t="s">
        <v>215</v>
      </c>
    </row>
    <row r="7" customFormat="false" ht="60" hidden="false" customHeight="true" outlineLevel="0" collapsed="false">
      <c r="A7" s="7" t="s">
        <v>12</v>
      </c>
      <c r="B7" s="18" t="s">
        <v>216</v>
      </c>
      <c r="C7" s="8" t="s">
        <v>217</v>
      </c>
    </row>
    <row r="8" customFormat="false" ht="60" hidden="false" customHeight="true" outlineLevel="0" collapsed="false">
      <c r="A8" s="7" t="s">
        <v>12</v>
      </c>
      <c r="B8" s="19" t="s">
        <v>218</v>
      </c>
      <c r="C8" s="8" t="s">
        <v>219</v>
      </c>
    </row>
    <row r="9" customFormat="false" ht="60" hidden="false" customHeight="true" outlineLevel="0" collapsed="false">
      <c r="A9" s="7" t="s">
        <v>32</v>
      </c>
      <c r="B9" s="16" t="s">
        <v>212</v>
      </c>
      <c r="C9" s="8" t="s">
        <v>220</v>
      </c>
    </row>
    <row r="10" customFormat="false" ht="60" hidden="false" customHeight="true" outlineLevel="0" collapsed="false">
      <c r="A10" s="7" t="s">
        <v>32</v>
      </c>
      <c r="B10" s="17" t="s">
        <v>214</v>
      </c>
      <c r="C10" s="8" t="s">
        <v>221</v>
      </c>
    </row>
    <row r="11" customFormat="false" ht="60" hidden="false" customHeight="true" outlineLevel="0" collapsed="false">
      <c r="A11" s="7" t="s">
        <v>32</v>
      </c>
      <c r="B11" s="18" t="s">
        <v>216</v>
      </c>
      <c r="C11" s="8" t="s">
        <v>222</v>
      </c>
    </row>
    <row r="12" customFormat="false" ht="60" hidden="false" customHeight="true" outlineLevel="0" collapsed="false">
      <c r="A12" s="7" t="s">
        <v>32</v>
      </c>
      <c r="B12" s="19" t="s">
        <v>218</v>
      </c>
      <c r="C12" s="8" t="s">
        <v>223</v>
      </c>
    </row>
    <row r="13" customFormat="false" ht="60" hidden="false" customHeight="true" outlineLevel="0" collapsed="false">
      <c r="A13" s="7" t="s">
        <v>52</v>
      </c>
      <c r="B13" s="16" t="s">
        <v>212</v>
      </c>
      <c r="C13" s="8" t="s">
        <v>224</v>
      </c>
    </row>
    <row r="14" customFormat="false" ht="60" hidden="false" customHeight="true" outlineLevel="0" collapsed="false">
      <c r="A14" s="7" t="s">
        <v>52</v>
      </c>
      <c r="B14" s="17" t="s">
        <v>214</v>
      </c>
      <c r="C14" s="8" t="s">
        <v>225</v>
      </c>
    </row>
    <row r="15" customFormat="false" ht="60" hidden="false" customHeight="true" outlineLevel="0" collapsed="false">
      <c r="A15" s="7" t="s">
        <v>52</v>
      </c>
      <c r="B15" s="18" t="s">
        <v>216</v>
      </c>
      <c r="C15" s="8" t="s">
        <v>226</v>
      </c>
    </row>
    <row r="16" customFormat="false" ht="60" hidden="false" customHeight="true" outlineLevel="0" collapsed="false">
      <c r="A16" s="7" t="s">
        <v>52</v>
      </c>
      <c r="B16" s="19" t="s">
        <v>218</v>
      </c>
      <c r="C16" s="8" t="s">
        <v>227</v>
      </c>
    </row>
    <row r="17" customFormat="false" ht="60" hidden="false" customHeight="true" outlineLevel="0" collapsed="false">
      <c r="A17" s="7" t="s">
        <v>72</v>
      </c>
      <c r="B17" s="16" t="s">
        <v>212</v>
      </c>
      <c r="C17" s="8" t="s">
        <v>228</v>
      </c>
    </row>
    <row r="18" customFormat="false" ht="60" hidden="false" customHeight="true" outlineLevel="0" collapsed="false">
      <c r="A18" s="7" t="s">
        <v>72</v>
      </c>
      <c r="B18" s="17" t="s">
        <v>214</v>
      </c>
      <c r="C18" s="8" t="s">
        <v>229</v>
      </c>
    </row>
    <row r="19" customFormat="false" ht="60" hidden="false" customHeight="true" outlineLevel="0" collapsed="false">
      <c r="A19" s="7" t="s">
        <v>72</v>
      </c>
      <c r="B19" s="18" t="s">
        <v>216</v>
      </c>
      <c r="C19" s="8" t="s">
        <v>230</v>
      </c>
    </row>
    <row r="20" customFormat="false" ht="60" hidden="false" customHeight="true" outlineLevel="0" collapsed="false">
      <c r="A20" s="7" t="s">
        <v>72</v>
      </c>
      <c r="B20" s="19" t="s">
        <v>218</v>
      </c>
      <c r="C20" s="8" t="s">
        <v>231</v>
      </c>
    </row>
    <row r="21" customFormat="false" ht="60" hidden="false" customHeight="true" outlineLevel="0" collapsed="false">
      <c r="A21" s="7" t="s">
        <v>92</v>
      </c>
      <c r="B21" s="16" t="s">
        <v>212</v>
      </c>
      <c r="C21" s="8" t="s">
        <v>232</v>
      </c>
    </row>
    <row r="22" customFormat="false" ht="60" hidden="false" customHeight="true" outlineLevel="0" collapsed="false">
      <c r="A22" s="7" t="s">
        <v>92</v>
      </c>
      <c r="B22" s="17" t="s">
        <v>214</v>
      </c>
      <c r="C22" s="8" t="s">
        <v>233</v>
      </c>
    </row>
    <row r="23" customFormat="false" ht="60" hidden="false" customHeight="true" outlineLevel="0" collapsed="false">
      <c r="A23" s="7" t="s">
        <v>92</v>
      </c>
      <c r="B23" s="18" t="s">
        <v>216</v>
      </c>
      <c r="C23" s="8" t="s">
        <v>234</v>
      </c>
    </row>
    <row r="24" customFormat="false" ht="60" hidden="false" customHeight="true" outlineLevel="0" collapsed="false">
      <c r="A24" s="7" t="s">
        <v>92</v>
      </c>
      <c r="B24" s="19" t="s">
        <v>218</v>
      </c>
      <c r="C24" s="8" t="s">
        <v>235</v>
      </c>
    </row>
    <row r="25" customFormat="false" ht="60" hidden="false" customHeight="true" outlineLevel="0" collapsed="false">
      <c r="A25" s="7" t="s">
        <v>112</v>
      </c>
      <c r="B25" s="16" t="s">
        <v>212</v>
      </c>
      <c r="C25" s="8" t="s">
        <v>236</v>
      </c>
    </row>
    <row r="26" customFormat="false" ht="60" hidden="false" customHeight="true" outlineLevel="0" collapsed="false">
      <c r="A26" s="7" t="s">
        <v>112</v>
      </c>
      <c r="B26" s="17" t="s">
        <v>214</v>
      </c>
      <c r="C26" s="8" t="s">
        <v>237</v>
      </c>
    </row>
    <row r="27" customFormat="false" ht="60" hidden="false" customHeight="true" outlineLevel="0" collapsed="false">
      <c r="A27" s="7" t="s">
        <v>112</v>
      </c>
      <c r="B27" s="18" t="s">
        <v>216</v>
      </c>
      <c r="C27" s="8" t="s">
        <v>238</v>
      </c>
    </row>
    <row r="28" customFormat="false" ht="60" hidden="false" customHeight="true" outlineLevel="0" collapsed="false">
      <c r="A28" s="7" t="s">
        <v>112</v>
      </c>
      <c r="B28" s="19" t="s">
        <v>218</v>
      </c>
      <c r="C28" s="8" t="s">
        <v>239</v>
      </c>
    </row>
    <row r="29" customFormat="false" ht="60" hidden="false" customHeight="true" outlineLevel="0" collapsed="false">
      <c r="A29" s="7" t="s">
        <v>132</v>
      </c>
      <c r="B29" s="16" t="s">
        <v>212</v>
      </c>
      <c r="C29" s="8" t="s">
        <v>240</v>
      </c>
    </row>
    <row r="30" customFormat="false" ht="60" hidden="false" customHeight="true" outlineLevel="0" collapsed="false">
      <c r="A30" s="7" t="s">
        <v>132</v>
      </c>
      <c r="B30" s="17" t="s">
        <v>214</v>
      </c>
      <c r="C30" s="8" t="s">
        <v>241</v>
      </c>
    </row>
    <row r="31" customFormat="false" ht="60" hidden="false" customHeight="true" outlineLevel="0" collapsed="false">
      <c r="A31" s="7" t="s">
        <v>132</v>
      </c>
      <c r="B31" s="18" t="s">
        <v>216</v>
      </c>
      <c r="C31" s="8" t="s">
        <v>242</v>
      </c>
    </row>
    <row r="32" customFormat="false" ht="60" hidden="false" customHeight="true" outlineLevel="0" collapsed="false">
      <c r="A32" s="7" t="s">
        <v>132</v>
      </c>
      <c r="B32" s="19" t="s">
        <v>218</v>
      </c>
      <c r="C32" s="8" t="s">
        <v>243</v>
      </c>
    </row>
    <row r="33" customFormat="false" ht="60" hidden="false" customHeight="true" outlineLevel="0" collapsed="false">
      <c r="A33" s="7" t="s">
        <v>152</v>
      </c>
      <c r="B33" s="16" t="s">
        <v>212</v>
      </c>
      <c r="C33" s="8" t="s">
        <v>244</v>
      </c>
    </row>
    <row r="34" customFormat="false" ht="60" hidden="false" customHeight="true" outlineLevel="0" collapsed="false">
      <c r="A34" s="7" t="s">
        <v>152</v>
      </c>
      <c r="B34" s="17" t="s">
        <v>214</v>
      </c>
      <c r="C34" s="8" t="s">
        <v>245</v>
      </c>
    </row>
    <row r="35" customFormat="false" ht="60" hidden="false" customHeight="true" outlineLevel="0" collapsed="false">
      <c r="A35" s="7" t="s">
        <v>152</v>
      </c>
      <c r="B35" s="18" t="s">
        <v>216</v>
      </c>
      <c r="C35" s="8" t="s">
        <v>246</v>
      </c>
    </row>
    <row r="36" customFormat="false" ht="60" hidden="false" customHeight="true" outlineLevel="0" collapsed="false">
      <c r="A36" s="7" t="s">
        <v>152</v>
      </c>
      <c r="B36" s="19" t="s">
        <v>218</v>
      </c>
      <c r="C36" s="8" t="s">
        <v>247</v>
      </c>
    </row>
    <row r="37" customFormat="false" ht="60" hidden="false" customHeight="true" outlineLevel="0" collapsed="false">
      <c r="A37" s="7" t="s">
        <v>172</v>
      </c>
      <c r="B37" s="16" t="s">
        <v>212</v>
      </c>
      <c r="C37" s="8" t="s">
        <v>248</v>
      </c>
    </row>
    <row r="38" customFormat="false" ht="60" hidden="false" customHeight="true" outlineLevel="0" collapsed="false">
      <c r="A38" s="7" t="s">
        <v>172</v>
      </c>
      <c r="B38" s="17" t="s">
        <v>214</v>
      </c>
      <c r="C38" s="8" t="s">
        <v>249</v>
      </c>
    </row>
    <row r="39" customFormat="false" ht="60" hidden="false" customHeight="true" outlineLevel="0" collapsed="false">
      <c r="A39" s="7" t="s">
        <v>172</v>
      </c>
      <c r="B39" s="18" t="s">
        <v>216</v>
      </c>
      <c r="C39" s="8" t="s">
        <v>250</v>
      </c>
    </row>
    <row r="40" customFormat="false" ht="60" hidden="false" customHeight="true" outlineLevel="0" collapsed="false">
      <c r="A40" s="7" t="s">
        <v>172</v>
      </c>
      <c r="B40" s="19" t="s">
        <v>218</v>
      </c>
      <c r="C40" s="8" t="s">
        <v>251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1FA2"/>
    <pageSetUpPr fitToPage="false"/>
  </sheetPr>
  <dimension ref="A1:C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2"/>
    <col collapsed="false" customWidth="true" hidden="false" outlineLevel="0" max="2" min="2" style="0" width="15"/>
    <col collapsed="false" customWidth="true" hidden="false" outlineLevel="0" max="3" min="3" style="0" width="90"/>
  </cols>
  <sheetData>
    <row r="1" customFormat="false" ht="17.35" hidden="false" customHeight="false" outlineLevel="0" collapsed="false">
      <c r="A1" s="11" t="s">
        <v>252</v>
      </c>
      <c r="B1" s="11"/>
      <c r="C1" s="11"/>
    </row>
    <row r="2" customFormat="false" ht="15" hidden="false" customHeight="false" outlineLevel="0" collapsed="false">
      <c r="A2" s="2" t="s">
        <v>253</v>
      </c>
      <c r="B2" s="2"/>
      <c r="C2" s="2"/>
    </row>
    <row r="4" customFormat="false" ht="15" hidden="false" customHeight="false" outlineLevel="0" collapsed="false">
      <c r="A4" s="4" t="s">
        <v>4</v>
      </c>
      <c r="B4" s="4" t="s">
        <v>254</v>
      </c>
      <c r="C4" s="4" t="s">
        <v>255</v>
      </c>
    </row>
    <row r="5" customFormat="false" ht="54.75" hidden="false" customHeight="true" outlineLevel="0" collapsed="false">
      <c r="A5" s="7" t="s">
        <v>12</v>
      </c>
      <c r="B5" s="6" t="s">
        <v>256</v>
      </c>
      <c r="C5" s="8" t="s">
        <v>257</v>
      </c>
    </row>
    <row r="6" customFormat="false" ht="54.75" hidden="false" customHeight="true" outlineLevel="0" collapsed="false">
      <c r="A6" s="7" t="s">
        <v>12</v>
      </c>
      <c r="B6" s="6" t="s">
        <v>258</v>
      </c>
      <c r="C6" s="8" t="s">
        <v>259</v>
      </c>
    </row>
    <row r="7" customFormat="false" ht="54.75" hidden="false" customHeight="true" outlineLevel="0" collapsed="false">
      <c r="A7" s="7" t="s">
        <v>12</v>
      </c>
      <c r="B7" s="6" t="s">
        <v>260</v>
      </c>
      <c r="C7" s="8" t="s">
        <v>261</v>
      </c>
    </row>
    <row r="8" customFormat="false" ht="54.75" hidden="false" customHeight="true" outlineLevel="0" collapsed="false">
      <c r="A8" s="7" t="s">
        <v>12</v>
      </c>
      <c r="B8" s="6" t="s">
        <v>262</v>
      </c>
      <c r="C8" s="8" t="s">
        <v>263</v>
      </c>
    </row>
    <row r="9" customFormat="false" ht="54.75" hidden="false" customHeight="true" outlineLevel="0" collapsed="false">
      <c r="A9" s="7" t="s">
        <v>12</v>
      </c>
      <c r="B9" s="6" t="s">
        <v>264</v>
      </c>
      <c r="C9" s="8" t="s">
        <v>265</v>
      </c>
    </row>
    <row r="10" customFormat="false" ht="54.75" hidden="false" customHeight="true" outlineLevel="0" collapsed="false">
      <c r="A10" s="7" t="s">
        <v>32</v>
      </c>
      <c r="B10" s="6" t="s">
        <v>256</v>
      </c>
      <c r="C10" s="8" t="s">
        <v>266</v>
      </c>
    </row>
    <row r="11" customFormat="false" ht="54.75" hidden="false" customHeight="true" outlineLevel="0" collapsed="false">
      <c r="A11" s="7" t="s">
        <v>32</v>
      </c>
      <c r="B11" s="6" t="s">
        <v>258</v>
      </c>
      <c r="C11" s="8" t="s">
        <v>267</v>
      </c>
    </row>
    <row r="12" customFormat="false" ht="54.75" hidden="false" customHeight="true" outlineLevel="0" collapsed="false">
      <c r="A12" s="7" t="s">
        <v>32</v>
      </c>
      <c r="B12" s="6" t="s">
        <v>260</v>
      </c>
      <c r="C12" s="8" t="s">
        <v>268</v>
      </c>
    </row>
    <row r="13" customFormat="false" ht="54.75" hidden="false" customHeight="true" outlineLevel="0" collapsed="false">
      <c r="A13" s="7" t="s">
        <v>32</v>
      </c>
      <c r="B13" s="6" t="s">
        <v>262</v>
      </c>
      <c r="C13" s="8" t="s">
        <v>269</v>
      </c>
    </row>
    <row r="14" customFormat="false" ht="54.75" hidden="false" customHeight="true" outlineLevel="0" collapsed="false">
      <c r="A14" s="7" t="s">
        <v>32</v>
      </c>
      <c r="B14" s="6" t="s">
        <v>264</v>
      </c>
      <c r="C14" s="8" t="s">
        <v>270</v>
      </c>
    </row>
    <row r="15" customFormat="false" ht="54.75" hidden="false" customHeight="true" outlineLevel="0" collapsed="false">
      <c r="A15" s="7" t="s">
        <v>52</v>
      </c>
      <c r="B15" s="6" t="s">
        <v>256</v>
      </c>
      <c r="C15" s="8" t="s">
        <v>271</v>
      </c>
    </row>
    <row r="16" customFormat="false" ht="54.75" hidden="false" customHeight="true" outlineLevel="0" collapsed="false">
      <c r="A16" s="7" t="s">
        <v>52</v>
      </c>
      <c r="B16" s="6" t="s">
        <v>258</v>
      </c>
      <c r="C16" s="8" t="s">
        <v>272</v>
      </c>
    </row>
    <row r="17" customFormat="false" ht="54.75" hidden="false" customHeight="true" outlineLevel="0" collapsed="false">
      <c r="A17" s="7" t="s">
        <v>52</v>
      </c>
      <c r="B17" s="6" t="s">
        <v>260</v>
      </c>
      <c r="C17" s="8" t="s">
        <v>273</v>
      </c>
    </row>
    <row r="18" customFormat="false" ht="54.75" hidden="false" customHeight="true" outlineLevel="0" collapsed="false">
      <c r="A18" s="7" t="s">
        <v>52</v>
      </c>
      <c r="B18" s="6" t="s">
        <v>262</v>
      </c>
      <c r="C18" s="8" t="s">
        <v>274</v>
      </c>
    </row>
    <row r="19" customFormat="false" ht="54.75" hidden="false" customHeight="true" outlineLevel="0" collapsed="false">
      <c r="A19" s="7" t="s">
        <v>52</v>
      </c>
      <c r="B19" s="6" t="s">
        <v>264</v>
      </c>
      <c r="C19" s="8" t="s">
        <v>275</v>
      </c>
    </row>
    <row r="20" customFormat="false" ht="54.75" hidden="false" customHeight="true" outlineLevel="0" collapsed="false">
      <c r="A20" s="7" t="s">
        <v>72</v>
      </c>
      <c r="B20" s="6" t="s">
        <v>256</v>
      </c>
      <c r="C20" s="8" t="s">
        <v>276</v>
      </c>
    </row>
    <row r="21" customFormat="false" ht="54.75" hidden="false" customHeight="true" outlineLevel="0" collapsed="false">
      <c r="A21" s="7" t="s">
        <v>72</v>
      </c>
      <c r="B21" s="6" t="s">
        <v>258</v>
      </c>
      <c r="C21" s="8" t="s">
        <v>277</v>
      </c>
    </row>
    <row r="22" customFormat="false" ht="54.75" hidden="false" customHeight="true" outlineLevel="0" collapsed="false">
      <c r="A22" s="7" t="s">
        <v>72</v>
      </c>
      <c r="B22" s="6" t="s">
        <v>260</v>
      </c>
      <c r="C22" s="8" t="s">
        <v>278</v>
      </c>
    </row>
    <row r="23" customFormat="false" ht="54.75" hidden="false" customHeight="true" outlineLevel="0" collapsed="false">
      <c r="A23" s="7" t="s">
        <v>72</v>
      </c>
      <c r="B23" s="6" t="s">
        <v>262</v>
      </c>
      <c r="C23" s="8" t="s">
        <v>279</v>
      </c>
    </row>
    <row r="24" customFormat="false" ht="54.75" hidden="false" customHeight="true" outlineLevel="0" collapsed="false">
      <c r="A24" s="7" t="s">
        <v>72</v>
      </c>
      <c r="B24" s="6" t="s">
        <v>264</v>
      </c>
      <c r="C24" s="8" t="s">
        <v>280</v>
      </c>
    </row>
    <row r="25" customFormat="false" ht="54.75" hidden="false" customHeight="true" outlineLevel="0" collapsed="false">
      <c r="A25" s="7" t="s">
        <v>92</v>
      </c>
      <c r="B25" s="6" t="s">
        <v>256</v>
      </c>
      <c r="C25" s="8" t="s">
        <v>281</v>
      </c>
    </row>
    <row r="26" customFormat="false" ht="54.75" hidden="false" customHeight="true" outlineLevel="0" collapsed="false">
      <c r="A26" s="7" t="s">
        <v>92</v>
      </c>
      <c r="B26" s="6" t="s">
        <v>258</v>
      </c>
      <c r="C26" s="8" t="s">
        <v>282</v>
      </c>
    </row>
    <row r="27" customFormat="false" ht="54.75" hidden="false" customHeight="true" outlineLevel="0" collapsed="false">
      <c r="A27" s="7" t="s">
        <v>92</v>
      </c>
      <c r="B27" s="6" t="s">
        <v>260</v>
      </c>
      <c r="C27" s="8" t="s">
        <v>283</v>
      </c>
    </row>
    <row r="28" customFormat="false" ht="54.75" hidden="false" customHeight="true" outlineLevel="0" collapsed="false">
      <c r="A28" s="7" t="s">
        <v>92</v>
      </c>
      <c r="B28" s="6" t="s">
        <v>262</v>
      </c>
      <c r="C28" s="8" t="s">
        <v>284</v>
      </c>
    </row>
    <row r="29" customFormat="false" ht="54.75" hidden="false" customHeight="true" outlineLevel="0" collapsed="false">
      <c r="A29" s="7" t="s">
        <v>92</v>
      </c>
      <c r="B29" s="6" t="s">
        <v>264</v>
      </c>
      <c r="C29" s="8" t="s">
        <v>285</v>
      </c>
    </row>
    <row r="30" customFormat="false" ht="54.75" hidden="false" customHeight="true" outlineLevel="0" collapsed="false">
      <c r="A30" s="7" t="s">
        <v>112</v>
      </c>
      <c r="B30" s="6" t="s">
        <v>256</v>
      </c>
      <c r="C30" s="8" t="s">
        <v>286</v>
      </c>
    </row>
    <row r="31" customFormat="false" ht="54.75" hidden="false" customHeight="true" outlineLevel="0" collapsed="false">
      <c r="A31" s="7" t="s">
        <v>112</v>
      </c>
      <c r="B31" s="6" t="s">
        <v>258</v>
      </c>
      <c r="C31" s="8" t="s">
        <v>287</v>
      </c>
    </row>
    <row r="32" customFormat="false" ht="54.75" hidden="false" customHeight="true" outlineLevel="0" collapsed="false">
      <c r="A32" s="7" t="s">
        <v>112</v>
      </c>
      <c r="B32" s="6" t="s">
        <v>260</v>
      </c>
      <c r="C32" s="8" t="s">
        <v>288</v>
      </c>
    </row>
    <row r="33" customFormat="false" ht="54.75" hidden="false" customHeight="true" outlineLevel="0" collapsed="false">
      <c r="A33" s="7" t="s">
        <v>112</v>
      </c>
      <c r="B33" s="6" t="s">
        <v>262</v>
      </c>
      <c r="C33" s="8" t="s">
        <v>289</v>
      </c>
    </row>
    <row r="34" customFormat="false" ht="54.75" hidden="false" customHeight="true" outlineLevel="0" collapsed="false">
      <c r="A34" s="7" t="s">
        <v>112</v>
      </c>
      <c r="B34" s="6" t="s">
        <v>264</v>
      </c>
      <c r="C34" s="8" t="s">
        <v>290</v>
      </c>
    </row>
    <row r="35" customFormat="false" ht="54.75" hidden="false" customHeight="true" outlineLevel="0" collapsed="false">
      <c r="A35" s="7" t="s">
        <v>132</v>
      </c>
      <c r="B35" s="6" t="s">
        <v>256</v>
      </c>
      <c r="C35" s="8" t="s">
        <v>291</v>
      </c>
    </row>
    <row r="36" customFormat="false" ht="54.75" hidden="false" customHeight="true" outlineLevel="0" collapsed="false">
      <c r="A36" s="7" t="s">
        <v>132</v>
      </c>
      <c r="B36" s="6" t="s">
        <v>258</v>
      </c>
      <c r="C36" s="8" t="s">
        <v>292</v>
      </c>
    </row>
    <row r="37" customFormat="false" ht="54.75" hidden="false" customHeight="true" outlineLevel="0" collapsed="false">
      <c r="A37" s="7" t="s">
        <v>132</v>
      </c>
      <c r="B37" s="6" t="s">
        <v>260</v>
      </c>
      <c r="C37" s="8" t="s">
        <v>293</v>
      </c>
    </row>
    <row r="38" customFormat="false" ht="54.75" hidden="false" customHeight="true" outlineLevel="0" collapsed="false">
      <c r="A38" s="7" t="s">
        <v>132</v>
      </c>
      <c r="B38" s="6" t="s">
        <v>262</v>
      </c>
      <c r="C38" s="8" t="s">
        <v>294</v>
      </c>
    </row>
    <row r="39" customFormat="false" ht="54.75" hidden="false" customHeight="true" outlineLevel="0" collapsed="false">
      <c r="A39" s="7" t="s">
        <v>132</v>
      </c>
      <c r="B39" s="6" t="s">
        <v>264</v>
      </c>
      <c r="C39" s="8" t="s">
        <v>295</v>
      </c>
    </row>
    <row r="40" customFormat="false" ht="54.75" hidden="false" customHeight="true" outlineLevel="0" collapsed="false">
      <c r="A40" s="7" t="s">
        <v>152</v>
      </c>
      <c r="B40" s="6" t="s">
        <v>256</v>
      </c>
      <c r="C40" s="8" t="s">
        <v>296</v>
      </c>
    </row>
    <row r="41" customFormat="false" ht="54.75" hidden="false" customHeight="true" outlineLevel="0" collapsed="false">
      <c r="A41" s="7" t="s">
        <v>152</v>
      </c>
      <c r="B41" s="6" t="s">
        <v>258</v>
      </c>
      <c r="C41" s="8" t="s">
        <v>297</v>
      </c>
    </row>
    <row r="42" customFormat="false" ht="54.75" hidden="false" customHeight="true" outlineLevel="0" collapsed="false">
      <c r="A42" s="7" t="s">
        <v>152</v>
      </c>
      <c r="B42" s="6" t="s">
        <v>260</v>
      </c>
      <c r="C42" s="8" t="s">
        <v>298</v>
      </c>
    </row>
    <row r="43" customFormat="false" ht="54.75" hidden="false" customHeight="true" outlineLevel="0" collapsed="false">
      <c r="A43" s="7" t="s">
        <v>152</v>
      </c>
      <c r="B43" s="6" t="s">
        <v>262</v>
      </c>
      <c r="C43" s="8" t="s">
        <v>299</v>
      </c>
    </row>
    <row r="44" customFormat="false" ht="54.75" hidden="false" customHeight="true" outlineLevel="0" collapsed="false">
      <c r="A44" s="7" t="s">
        <v>152</v>
      </c>
      <c r="B44" s="6" t="s">
        <v>264</v>
      </c>
      <c r="C44" s="8" t="s">
        <v>300</v>
      </c>
    </row>
    <row r="45" customFormat="false" ht="54.75" hidden="false" customHeight="true" outlineLevel="0" collapsed="false">
      <c r="A45" s="7" t="s">
        <v>172</v>
      </c>
      <c r="B45" s="6" t="s">
        <v>256</v>
      </c>
      <c r="C45" s="8" t="s">
        <v>301</v>
      </c>
    </row>
    <row r="46" customFormat="false" ht="54.75" hidden="false" customHeight="true" outlineLevel="0" collapsed="false">
      <c r="A46" s="7" t="s">
        <v>172</v>
      </c>
      <c r="B46" s="6" t="s">
        <v>258</v>
      </c>
      <c r="C46" s="8" t="s">
        <v>302</v>
      </c>
    </row>
    <row r="47" customFormat="false" ht="54.75" hidden="false" customHeight="true" outlineLevel="0" collapsed="false">
      <c r="A47" s="7" t="s">
        <v>172</v>
      </c>
      <c r="B47" s="6" t="s">
        <v>260</v>
      </c>
      <c r="C47" s="8" t="s">
        <v>303</v>
      </c>
    </row>
    <row r="48" customFormat="false" ht="54.75" hidden="false" customHeight="true" outlineLevel="0" collapsed="false">
      <c r="A48" s="7" t="s">
        <v>172</v>
      </c>
      <c r="B48" s="6" t="s">
        <v>262</v>
      </c>
      <c r="C48" s="8" t="s">
        <v>304</v>
      </c>
    </row>
    <row r="49" customFormat="false" ht="54.75" hidden="false" customHeight="true" outlineLevel="0" collapsed="false">
      <c r="A49" s="7" t="s">
        <v>172</v>
      </c>
      <c r="B49" s="6" t="s">
        <v>264</v>
      </c>
      <c r="C49" s="8" t="s">
        <v>305</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55A64"/>
    <pageSetUpPr fitToPage="false"/>
  </sheetPr>
  <dimension ref="A1:A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0"/>
  </cols>
  <sheetData>
    <row r="1" customFormat="false" ht="17.35" hidden="false" customHeight="false" outlineLevel="0" collapsed="false">
      <c r="A1" s="20" t="s">
        <v>0</v>
      </c>
    </row>
    <row r="2" customFormat="false" ht="15" hidden="false" customHeight="false" outlineLevel="0" collapsed="false">
      <c r="A2" s="21" t="s">
        <v>306</v>
      </c>
    </row>
    <row r="3" customFormat="false" ht="15" hidden="false" customHeight="false" outlineLevel="0" collapsed="false">
      <c r="A3" s="22"/>
    </row>
    <row r="4" customFormat="false" ht="15" hidden="false" customHeight="false" outlineLevel="0" collapsed="false">
      <c r="A4" s="23" t="s">
        <v>307</v>
      </c>
    </row>
    <row r="5" customFormat="false" ht="35.05" hidden="false" customHeight="false" outlineLevel="0" collapsed="false">
      <c r="A5" s="22" t="s">
        <v>308</v>
      </c>
    </row>
    <row r="6" customFormat="false" ht="15" hidden="false" customHeight="false" outlineLevel="0" collapsed="false">
      <c r="A6" s="22"/>
    </row>
    <row r="7" customFormat="false" ht="15" hidden="false" customHeight="false" outlineLevel="0" collapsed="false">
      <c r="A7" s="23" t="s">
        <v>309</v>
      </c>
    </row>
    <row r="8" customFormat="false" ht="15" hidden="false" customHeight="false" outlineLevel="0" collapsed="false">
      <c r="A8" s="22" t="s">
        <v>310</v>
      </c>
    </row>
    <row r="9" customFormat="false" ht="15" hidden="false" customHeight="false" outlineLevel="0" collapsed="false">
      <c r="A9" s="22" t="s">
        <v>311</v>
      </c>
    </row>
    <row r="10" customFormat="false" ht="15" hidden="false" customHeight="false" outlineLevel="0" collapsed="false">
      <c r="A10" s="22" t="s">
        <v>312</v>
      </c>
    </row>
    <row r="11" customFormat="false" ht="15" hidden="false" customHeight="false" outlineLevel="0" collapsed="false">
      <c r="A11" s="22" t="s">
        <v>313</v>
      </c>
    </row>
    <row r="12" customFormat="false" ht="15" hidden="false" customHeight="false" outlineLevel="0" collapsed="false">
      <c r="A12" s="22" t="s">
        <v>314</v>
      </c>
    </row>
    <row r="13" customFormat="false" ht="15" hidden="false" customHeight="false" outlineLevel="0" collapsed="false">
      <c r="A13" s="22"/>
    </row>
    <row r="14" customFormat="false" ht="15" hidden="false" customHeight="false" outlineLevel="0" collapsed="false">
      <c r="A14" s="23" t="s">
        <v>315</v>
      </c>
    </row>
    <row r="15" customFormat="false" ht="15" hidden="false" customHeight="false" outlineLevel="0" collapsed="false">
      <c r="A15" s="22" t="s">
        <v>316</v>
      </c>
    </row>
    <row r="16" customFormat="false" ht="15" hidden="false" customHeight="false" outlineLevel="0" collapsed="false">
      <c r="A16" s="22" t="s">
        <v>317</v>
      </c>
    </row>
    <row r="17" customFormat="false" ht="15" hidden="false" customHeight="false" outlineLevel="0" collapsed="false">
      <c r="A17" s="22" t="s">
        <v>318</v>
      </c>
    </row>
    <row r="18" customFormat="false" ht="15" hidden="false" customHeight="false" outlineLevel="0" collapsed="false">
      <c r="A18" s="22" t="s">
        <v>319</v>
      </c>
    </row>
    <row r="19" customFormat="false" ht="15" hidden="false" customHeight="false" outlineLevel="0" collapsed="false">
      <c r="A19" s="22" t="s">
        <v>320</v>
      </c>
    </row>
    <row r="20" customFormat="false" ht="15" hidden="false" customHeight="false" outlineLevel="0" collapsed="false">
      <c r="A20" s="22"/>
    </row>
    <row r="21" customFormat="false" ht="15" hidden="false" customHeight="false" outlineLevel="0" collapsed="false">
      <c r="A21" s="23" t="s">
        <v>321</v>
      </c>
    </row>
    <row r="22" customFormat="false" ht="15" hidden="false" customHeight="false" outlineLevel="0" collapsed="false">
      <c r="A22" s="22" t="s">
        <v>322</v>
      </c>
    </row>
    <row r="23" customFormat="false" ht="15" hidden="false" customHeight="false" outlineLevel="0" collapsed="false">
      <c r="A23" s="22" t="s">
        <v>323</v>
      </c>
    </row>
    <row r="24" customFormat="false" ht="15" hidden="false" customHeight="false" outlineLevel="0" collapsed="false">
      <c r="A24" s="22" t="s">
        <v>324</v>
      </c>
    </row>
    <row r="25" customFormat="false" ht="15" hidden="false" customHeight="false" outlineLevel="0" collapsed="false">
      <c r="A25" s="22"/>
    </row>
    <row r="26" customFormat="false" ht="15" hidden="false" customHeight="false" outlineLevel="0" collapsed="false">
      <c r="A26" s="23" t="s">
        <v>325</v>
      </c>
    </row>
    <row r="27" customFormat="false" ht="15" hidden="false" customHeight="false" outlineLevel="0" collapsed="false">
      <c r="A27" s="22" t="s">
        <v>326</v>
      </c>
    </row>
    <row r="28" customFormat="false" ht="15" hidden="false" customHeight="false" outlineLevel="0" collapsed="false">
      <c r="A28" s="22" t="s">
        <v>327</v>
      </c>
    </row>
    <row r="29" customFormat="false" ht="15" hidden="false" customHeight="false" outlineLevel="0" collapsed="false">
      <c r="A29" s="22" t="s">
        <v>328</v>
      </c>
    </row>
    <row r="30" customFormat="false" ht="15" hidden="false" customHeight="false" outlineLevel="0" collapsed="false">
      <c r="A30" s="22" t="s">
        <v>329</v>
      </c>
    </row>
    <row r="31" customFormat="false" ht="15" hidden="false" customHeight="false" outlineLevel="0" collapsed="false">
      <c r="A31" s="22"/>
    </row>
    <row r="32" customFormat="false" ht="15" hidden="false" customHeight="false" outlineLevel="0" collapsed="false">
      <c r="A32" s="23" t="s">
        <v>330</v>
      </c>
    </row>
    <row r="33" customFormat="false" ht="15" hidden="false" customHeight="false" outlineLevel="0" collapsed="false">
      <c r="A33" s="22" t="s">
        <v>331</v>
      </c>
    </row>
    <row r="34" customFormat="false" ht="15" hidden="false" customHeight="false" outlineLevel="0" collapsed="false">
      <c r="A34" s="22" t="s">
        <v>332</v>
      </c>
    </row>
    <row r="35" customFormat="false" ht="15" hidden="false" customHeight="false" outlineLevel="0" collapsed="false">
      <c r="A35" s="22" t="s">
        <v>333</v>
      </c>
    </row>
    <row r="36" customFormat="false" ht="15" hidden="false" customHeight="false" outlineLevel="0" collapsed="false">
      <c r="A36" s="22" t="s">
        <v>334</v>
      </c>
    </row>
    <row r="37" customFormat="false" ht="15" hidden="false" customHeight="false" outlineLevel="0" collapsed="false">
      <c r="A37" s="22" t="s">
        <v>335</v>
      </c>
    </row>
    <row r="38" customFormat="false" ht="15" hidden="false" customHeight="false" outlineLevel="0" collapsed="false">
      <c r="A38" s="22" t="s">
        <v>336</v>
      </c>
    </row>
    <row r="39" customFormat="false" ht="15" hidden="false" customHeight="false" outlineLevel="0" collapsed="false">
      <c r="A39" s="22"/>
    </row>
    <row r="40" customFormat="false" ht="15" hidden="false" customHeight="false" outlineLevel="0" collapsed="false">
      <c r="A40" s="23" t="s">
        <v>337</v>
      </c>
    </row>
    <row r="41" customFormat="false" ht="15" hidden="false" customHeight="false" outlineLevel="0" collapsed="false">
      <c r="A41" s="22" t="s">
        <v>338</v>
      </c>
    </row>
    <row r="42" customFormat="false" ht="15" hidden="false" customHeight="false" outlineLevel="0" collapsed="false">
      <c r="A42" s="22" t="s">
        <v>339</v>
      </c>
    </row>
    <row r="43" customFormat="false" ht="15" hidden="false" customHeight="false" outlineLevel="0" collapsed="false">
      <c r="A43" s="22" t="s">
        <v>340</v>
      </c>
    </row>
    <row r="44" customFormat="false" ht="15" hidden="false" customHeight="false" outlineLevel="0" collapsed="false">
      <c r="A44" s="22" t="s">
        <v>341</v>
      </c>
    </row>
    <row r="45" customFormat="false" ht="15" hidden="false" customHeight="false" outlineLevel="0" collapsed="false">
      <c r="A45" s="22" t="s">
        <v>342</v>
      </c>
    </row>
    <row r="46" customFormat="false" ht="15" hidden="false" customHeight="false" outlineLevel="0" collapsed="false">
      <c r="A46" s="22" t="s">
        <v>343</v>
      </c>
    </row>
    <row r="47" customFormat="false" ht="15" hidden="false" customHeight="false" outlineLevel="0" collapsed="false">
      <c r="A47" s="22" t="s">
        <v>344</v>
      </c>
    </row>
    <row r="48" customFormat="false" ht="15" hidden="false" customHeight="false" outlineLevel="0" collapsed="false">
      <c r="A48" s="22" t="s">
        <v>345</v>
      </c>
    </row>
    <row r="49" customFormat="false" ht="15" hidden="false" customHeight="false" outlineLevel="0" collapsed="false">
      <c r="A49" s="22" t="s">
        <v>346</v>
      </c>
    </row>
    <row r="50" customFormat="false" ht="15" hidden="false" customHeight="false" outlineLevel="0" collapsed="false">
      <c r="A50" s="22"/>
    </row>
    <row r="51" customFormat="false" ht="15" hidden="false" customHeight="false" outlineLevel="0" collapsed="false">
      <c r="A51" s="23" t="s">
        <v>347</v>
      </c>
    </row>
    <row r="52" customFormat="false" ht="15" hidden="false" customHeight="false" outlineLevel="0" collapsed="false">
      <c r="A52" s="22" t="s">
        <v>348</v>
      </c>
    </row>
    <row r="53" customFormat="false" ht="15" hidden="false" customHeight="false" outlineLevel="0" collapsed="false">
      <c r="A53" s="22" t="s">
        <v>349</v>
      </c>
    </row>
    <row r="54" customFormat="false" ht="15" hidden="false" customHeight="false" outlineLevel="0" collapsed="false">
      <c r="A54" s="22" t="s">
        <v>350</v>
      </c>
    </row>
    <row r="55" customFormat="false" ht="15" hidden="false" customHeight="false" outlineLevel="0" collapsed="false">
      <c r="A55" s="22" t="s">
        <v>351</v>
      </c>
    </row>
    <row r="56" customFormat="false" ht="15" hidden="false" customHeight="false" outlineLevel="0" collapsed="false">
      <c r="A56" s="22" t="s">
        <v>352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2026-02-10T18:02:25Z</dcterms:created>
  <dc:creator>openpyxl</dc:creator>
  <dc:description/>
  <dc:language>en-US</dc:language>
  <cp:lastModifiedBy/>
  <dcterms:modified xsi:type="dcterms:W3CDTF">2026-02-10T18:02:25Z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